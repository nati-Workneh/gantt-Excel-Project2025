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7252\Downloads\gantt-Excel-Project2025-main\gantt-Excel-Project2025-main\"/>
    </mc:Choice>
  </mc:AlternateContent>
  <xr:revisionPtr revIDLastSave="0" documentId="13_ncr:1_{EE717D99-F2A9-4171-9BBF-349A938B131D}" xr6:coauthVersionLast="47" xr6:coauthVersionMax="47" xr10:uidLastSave="{00000000-0000-0000-0000-000000000000}"/>
  <bookViews>
    <workbookView xWindow="-110" yWindow="-110" windowWidth="19420" windowHeight="10300" activeTab="1" xr2:uid="{F9F53E72-4CAA-4870-AF87-C60B4820ACE7}"/>
  </bookViews>
  <sheets>
    <sheet name="טבלת גאנט" sheetId="5" r:id="rId1"/>
    <sheet name="הגדרות" sheetId="4" r:id="rId2"/>
  </sheets>
  <externalReferences>
    <externalReference r:id="rId3"/>
  </externalReferences>
  <definedNames>
    <definedName name="base_end" localSheetId="0">'טבלת גאנט'!$Y1</definedName>
    <definedName name="base_start" localSheetId="0">'טבלת גאנט'!$X1</definedName>
    <definedName name="color_by">'טבלת גאנט'!$AA$4</definedName>
    <definedName name="color_code" localSheetId="0">_xlfn.SWITCH(color_by,"ברירת מחדל",'טבלת גאנט'!color_code_default,"מבנה פרויקט",'טבלת גאנט'!color_code_project_structure,"תפקידים",'טבלת גאנט'!color_code_team_roles,"בעיות",'טבלת גאנט'!color_code_issues)</definedName>
    <definedName name="color_code_default" localSheetId="0">IF('טבלת גאנט'!Type&lt;&gt;"",_xlfn.SWITCH('טבלת גאנט'!Type,"S",1,"T",2,"M",3),-1)</definedName>
    <definedName name="color_code_issues" localSheetId="0">IF('טבלת גאנט'!issue="⚠",_xlfn.SWITCH('טבלת גאנט'!Type,"S",901,"T",901,"M",902),'טבלת גאנט'!color_code_default)</definedName>
    <definedName name="color_code_project_structure" localSheetId="0">IF('טבלת גאנט'!stage_id=-1,-1,_xlfn.NUMBERVALUE(IF(MOD('טבלת גאנט'!stage_id,8)=0,8,MOD('טבלת גאנט'!stage_id,8))&amp;_xlfn.SWITCH('טבלת גאנט'!Type,"S","01","T","02","M","03")))</definedName>
    <definedName name="color_code_team_roles" localSheetId="0">IF('טבלת גאנט'!r_id=-1,'טבלת גאנט'!color_code_default,_xlfn.NUMBERVALUE('טבלת גאנט'!r_id&amp;_xlfn.SWITCH('טבלת גאנט'!Type,"T","02","M","04")))</definedName>
    <definedName name="d.conn" localSheetId="0">'טבלת גאנט'!$S1</definedName>
    <definedName name="d.id" localSheetId="0">'טבלת גאנט'!$P1</definedName>
    <definedName name="d.lag" localSheetId="0">'טבלת גאנט'!$T1</definedName>
    <definedName name="d.name" localSheetId="0">INDEX('טבלת גאנט'!$I:$I,'טבלת גאנט'!d.row)</definedName>
    <definedName name="d.row" localSheetId="0">MATCH('טבלת גאנט'!d.id,'טבלת גאנט'!$E:$E,0)</definedName>
    <definedName name="d.type" localSheetId="0">INDEX('טבלת גאנט'!$H:$H,'טבלת גאנט'!d.row)</definedName>
    <definedName name="Date" localSheetId="0">'טבלת גאנט'!A$7</definedName>
    <definedName name="display">'טבלת גאנט'!$AH$4</definedName>
    <definedName name="ff_calc" localSheetId="0">WORKDAY.INTL(INDEX('טבלת גאנט'!$W:$W,'טבלת גאנט'!d.row),'טבלת גאנט'!d.lag,weekend)</definedName>
    <definedName name="fs_calc">WORKDAY.INTL(INDEX('טבלת גאנט'!$W:$W,'טבלת גאנט'!d.row),1+'טבלת גאנט'!d.lag,weekend)</definedName>
    <definedName name="highlight">'טבלת גאנט'!$AV$4</definedName>
    <definedName name="id" localSheetId="0">'טבלת גאנט'!$E1</definedName>
    <definedName name="ind_end">'טבלת גאנט'!$O1</definedName>
    <definedName name="ind_start">'טבלת גאנט'!$N1</definedName>
    <definedName name="issue" localSheetId="0">'טבלת גאנט'!$M1</definedName>
    <definedName name="item_in_base" localSheetId="0">AND('טבלת גאנט'!Date&gt;='טבלת גאנט'!base_start,'טבלת גאנט'!Date&lt;='טבלת גאנט'!base_end)</definedName>
    <definedName name="item_in_complete" localSheetId="0">AND('טבלת גאנט'!Date&gt;=plan_start,'טבלת גאנט'!Date&lt;=WORKDAY.INTL(plan_start,'טבלת גאנט'!percentage_complete*workdays-1,weekend))</definedName>
    <definedName name="item_in_plan">AND('טבלת גאנט'!Date&gt;=plan_start,'טבלת גאנט'!Date&lt;=plan_end)</definedName>
    <definedName name="Next_Date">'טבלת גאנט'!B$7</definedName>
    <definedName name="percentage_complete" localSheetId="0">'טבלת גאנט'!$Z1</definedName>
    <definedName name="plan_end">'טבלת גאנט'!$W1</definedName>
    <definedName name="plan_end_calc">WORKDAY.INTL(plan_start,workdays-1,weekend)</definedName>
    <definedName name="plan_start">'טבלת גאנט'!$V1</definedName>
    <definedName name="plan_start_calc">WORKDAY.INTL(plan_end,(-1)*workdays+1,weekend)</definedName>
    <definedName name="prev_col_range" localSheetId="0">'טבלת גאנט'!A$10:A1048576</definedName>
    <definedName name="project_base_start" localSheetId="0">MIN('טבלת גאנט'!$X$10:$X$10001)</definedName>
    <definedName name="project_duration">NETWORKDAYS.INTL('טבלת גאנט'!project_start,'טבלת גאנט'!project_end,weekend)</definedName>
    <definedName name="project_end" localSheetId="0">MAX('טבלת גאנט'!$W$10:$W$1001)</definedName>
    <definedName name="project_start" localSheetId="0">MIN('טבלת גאנט'!$V$10:$V$1001)</definedName>
    <definedName name="r_id" localSheetId="0">'טבלת גאנט'!$G1</definedName>
    <definedName name="role" localSheetId="0">'טבלת גאנט'!$K1</definedName>
    <definedName name="scroll_inc">'טבלת גאנט'!$Z$8</definedName>
    <definedName name="sf_calc" localSheetId="0">WORKDAY.INTL(INDEX('טבלת גאנט'!$V:$V,'טבלת גאנט'!d.row),(-1)+'טבלת גאנט'!d.lag,weekend)</definedName>
    <definedName name="Shiftlateincomestatus">[1]הגדרות!$H$14</definedName>
    <definedName name="show_progress" localSheetId="0">'טבלת גאנט'!$AO$4</definedName>
    <definedName name="ss_calc">WORKDAY.INTL(INDEX('טבלת גאנט'!$V:$V,'טבלת גאנט'!d.row),'טבלת גאנט'!d.lag,weekend)</definedName>
    <definedName name="stage_id" localSheetId="0">'טבלת גאנט'!$F1</definedName>
    <definedName name="TeamMemeber">'טבלת גאנט'!$L1</definedName>
    <definedName name="timeline_base_start">'טבלת גאנט'!project_base_start-WEEKDAY('טבלת גאנט'!project_base_start,2)</definedName>
    <definedName name="timeline_plan_start" localSheetId="0">IF('טבלת גאנט'!project_start=0,TODAY()-WEEKDAY(TODAY(),2),'טבלת גאנט'!project_start-WEEKDAY('טבלת גאנט'!project_start,2))</definedName>
    <definedName name="timeline_start" localSheetId="0">IF(display="תוכנית VS בסיס",IF(timeline_base_start&gt;0,MIN(timeline_base_start,'טבלת גאנט'!timeline_plan_start),'טבלת גאנט'!timeline_plan_start),'טבלת גאנט'!timeline_plan_start)</definedName>
    <definedName name="Type" localSheetId="0">'טבלת גאנט'!$H1</definedName>
    <definedName name="weekend">הגדרות!$G$15</definedName>
    <definedName name="workdays">MAX('טבלת גאנט'!$U1,1)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8" i="5" l="1" a="1"/>
  <c r="Z28" i="5" s="1"/>
  <c r="Z24" i="5" a="1"/>
  <c r="Z24" i="5" s="1"/>
  <c r="Z17" i="5" a="1"/>
  <c r="Z17" i="5" s="1"/>
  <c r="Z12" i="5" a="1"/>
  <c r="Z12" i="5" s="1"/>
  <c r="P32" i="5"/>
  <c r="P31" i="5"/>
  <c r="P30" i="5"/>
  <c r="P29" i="5"/>
  <c r="E28" i="5"/>
  <c r="F28" i="5"/>
  <c r="G28" i="5"/>
  <c r="K28" i="5"/>
  <c r="Q28" i="5"/>
  <c r="P27" i="5"/>
  <c r="P26" i="5"/>
  <c r="E25" i="5"/>
  <c r="P25" i="5"/>
  <c r="P23" i="5"/>
  <c r="P22" i="5"/>
  <c r="P21" i="5"/>
  <c r="P20" i="5"/>
  <c r="P19" i="5"/>
  <c r="P18" i="5"/>
  <c r="P16" i="5"/>
  <c r="P15" i="5"/>
  <c r="P14" i="5"/>
  <c r="E20" i="5"/>
  <c r="Q20" i="5" s="1"/>
  <c r="F20" i="5"/>
  <c r="K20" i="5"/>
  <c r="G20" i="5" s="1"/>
  <c r="R20" i="5" a="1"/>
  <c r="R20" i="5" s="1"/>
  <c r="M12" i="4"/>
  <c r="M13" i="4"/>
  <c r="M14" i="4"/>
  <c r="F12" i="5"/>
  <c r="G17" i="5"/>
  <c r="G34" i="5"/>
  <c r="G35" i="5"/>
  <c r="G12" i="5"/>
  <c r="F35" i="5"/>
  <c r="V13" i="5" a="1"/>
  <c r="V13" i="5" s="1"/>
  <c r="W13" i="5" s="1" a="1"/>
  <c r="W13" i="5" s="1"/>
  <c r="V35" i="5" a="1"/>
  <c r="V35" i="5" s="1"/>
  <c r="Q17" i="5"/>
  <c r="Q35" i="5"/>
  <c r="Q12" i="5"/>
  <c r="Q13" i="5"/>
  <c r="W35" i="5" a="1"/>
  <c r="W35" i="5" s="1"/>
  <c r="E12" i="5"/>
  <c r="E13" i="5" s="1"/>
  <c r="K14" i="5"/>
  <c r="G14" i="5" s="1"/>
  <c r="K17" i="5"/>
  <c r="K23" i="5"/>
  <c r="G23" i="5" s="1"/>
  <c r="K25" i="5"/>
  <c r="G25" i="5" s="1"/>
  <c r="K27" i="5"/>
  <c r="G27" i="5" s="1"/>
  <c r="K34" i="5"/>
  <c r="K35" i="5"/>
  <c r="K12" i="5"/>
  <c r="S8" i="4"/>
  <c r="K22" i="5" s="1"/>
  <c r="G22" i="5" s="1"/>
  <c r="S9" i="4"/>
  <c r="K24" i="5" s="1"/>
  <c r="G24" i="5" s="1"/>
  <c r="S10" i="4"/>
  <c r="K32" i="5" s="1"/>
  <c r="G32" i="5" s="1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7" i="4"/>
  <c r="K31" i="5" s="1"/>
  <c r="G31" i="5" s="1"/>
  <c r="H29" i="4"/>
  <c r="H27" i="4"/>
  <c r="H25" i="4"/>
  <c r="H23" i="4"/>
  <c r="H21" i="4"/>
  <c r="H19" i="4"/>
  <c r="H17" i="4"/>
  <c r="AU1" i="5"/>
  <c r="M8" i="4" l="1"/>
  <c r="M11" i="4"/>
  <c r="M10" i="4"/>
  <c r="M7" i="4"/>
  <c r="M9" i="4"/>
  <c r="K30" i="5"/>
  <c r="G30" i="5" s="1"/>
  <c r="K29" i="5"/>
  <c r="G29" i="5" s="1"/>
  <c r="K13" i="5"/>
  <c r="G13" i="5" s="1"/>
  <c r="K26" i="5"/>
  <c r="G26" i="5" s="1"/>
  <c r="K33" i="5"/>
  <c r="G33" i="5" s="1"/>
  <c r="K19" i="5"/>
  <c r="G19" i="5" s="1"/>
  <c r="K21" i="5"/>
  <c r="G21" i="5" s="1"/>
  <c r="K18" i="5"/>
  <c r="G18" i="5" s="1"/>
  <c r="K16" i="5"/>
  <c r="G16" i="5" s="1"/>
  <c r="K15" i="5"/>
  <c r="G15" i="5" s="1"/>
  <c r="F13" i="5"/>
  <c r="E14" i="5"/>
  <c r="G15" i="4"/>
  <c r="D1" i="5"/>
  <c r="F14" i="5" l="1"/>
  <c r="F15" i="5"/>
  <c r="F16" i="5" s="1"/>
  <c r="E15" i="5"/>
  <c r="Q14" i="5"/>
  <c r="F17" i="5" l="1"/>
  <c r="E16" i="5"/>
  <c r="Q15" i="5"/>
  <c r="E17" i="5" l="1"/>
  <c r="E18" i="5" s="1"/>
  <c r="F18" i="5"/>
  <c r="Q16" i="5"/>
  <c r="E19" i="5" l="1"/>
  <c r="F19" i="5"/>
  <c r="Q18" i="5"/>
  <c r="E21" i="5" l="1"/>
  <c r="E22" i="5" s="1"/>
  <c r="Q22" i="5" s="1"/>
  <c r="F21" i="5"/>
  <c r="Q19" i="5"/>
  <c r="Q24" i="5"/>
  <c r="E23" i="5" l="1"/>
  <c r="Q21" i="5"/>
  <c r="F22" i="5"/>
  <c r="Q23" i="5" l="1"/>
  <c r="E24" i="5"/>
  <c r="F23" i="5"/>
  <c r="Q25" i="5" l="1"/>
  <c r="F24" i="5"/>
  <c r="E26" i="5" l="1"/>
  <c r="F25" i="5"/>
  <c r="Q30" i="5"/>
  <c r="E27" i="5" l="1"/>
  <c r="Q26" i="5"/>
  <c r="F26" i="5"/>
  <c r="Q27" i="5" l="1"/>
  <c r="F27" i="5"/>
  <c r="E29" i="5" l="1"/>
  <c r="R14" i="5" a="1"/>
  <c r="R14" i="5" s="1"/>
  <c r="R15" i="5" a="1"/>
  <c r="R15" i="5" s="1"/>
  <c r="R18" i="5" a="1"/>
  <c r="R18" i="5" s="1"/>
  <c r="R16" i="5" a="1"/>
  <c r="R16" i="5" s="1"/>
  <c r="R22" i="5" a="1"/>
  <c r="R22" i="5" s="1"/>
  <c r="R21" i="5" a="1"/>
  <c r="R21" i="5" s="1"/>
  <c r="R25" i="5" a="1"/>
  <c r="R25" i="5" s="1"/>
  <c r="R19" i="5" a="1"/>
  <c r="R19" i="5" s="1"/>
  <c r="Q29" i="5"/>
  <c r="R23" i="5" a="1"/>
  <c r="R23" i="5" s="1"/>
  <c r="E30" i="5" l="1"/>
  <c r="F29" i="5"/>
  <c r="F30" i="5" s="1"/>
  <c r="F31" i="5" s="1"/>
  <c r="E31" i="5" l="1"/>
  <c r="F32" i="5"/>
  <c r="Q31" i="5" l="1"/>
  <c r="E32" i="5"/>
  <c r="F33" i="5"/>
  <c r="F34" i="5" s="1"/>
  <c r="E33" i="5" l="1"/>
  <c r="Q32" i="5"/>
  <c r="V14" i="5" a="1"/>
  <c r="V14" i="5" s="1"/>
  <c r="Q33" i="5" l="1"/>
  <c r="E34" i="5"/>
  <c r="W14" i="5" a="1"/>
  <c r="W14" i="5" s="1"/>
  <c r="R29" i="5" l="1" a="1"/>
  <c r="R29" i="5" s="1"/>
  <c r="R26" i="5" a="1"/>
  <c r="R26" i="5" s="1"/>
  <c r="E35" i="5"/>
  <c r="R28" i="5" s="1" a="1"/>
  <c r="R28" i="5" s="1"/>
  <c r="Q34" i="5"/>
  <c r="R34" i="5" a="1"/>
  <c r="R34" i="5" s="1"/>
  <c r="R12" i="5" l="1" a="1"/>
  <c r="R12" i="5" s="1"/>
  <c r="R27" i="5" a="1"/>
  <c r="R27" i="5" s="1"/>
  <c r="R31" i="5" a="1"/>
  <c r="R31" i="5" s="1"/>
  <c r="R32" i="5" a="1"/>
  <c r="R32" i="5" s="1"/>
  <c r="R33" i="5" a="1"/>
  <c r="R33" i="5" s="1"/>
  <c r="R35" i="5" a="1"/>
  <c r="R35" i="5" s="1"/>
  <c r="R24" i="5" a="1"/>
  <c r="R24" i="5" s="1"/>
  <c r="R17" i="5" a="1"/>
  <c r="R17" i="5" s="1"/>
  <c r="R30" i="5" a="1"/>
  <c r="R30" i="5" s="1"/>
  <c r="R13" i="5" a="1"/>
  <c r="R13" i="5" s="1"/>
  <c r="W33" i="5" l="1" a="1"/>
  <c r="W33" i="5" s="1"/>
  <c r="V33" i="5" l="1" a="1"/>
  <c r="V33" i="5" s="1"/>
  <c r="W34" i="5" a="1"/>
  <c r="W34" i="5" s="1"/>
  <c r="V34" i="5" l="1" a="1"/>
  <c r="V34" i="5" s="1"/>
  <c r="V15" i="5" l="1" a="1"/>
  <c r="V15" i="5" s="1"/>
  <c r="W15" i="5" l="1" a="1"/>
  <c r="W15" i="5" s="1"/>
  <c r="V16" i="5" l="1" a="1"/>
  <c r="V16" i="5" s="1"/>
  <c r="N12" i="5" l="1"/>
  <c r="V12" i="5" s="1" a="1"/>
  <c r="V12" i="5" s="1"/>
  <c r="W16" i="5" a="1"/>
  <c r="W16" i="5" s="1"/>
  <c r="V18" i="5" l="1" a="1"/>
  <c r="V18" i="5" s="1"/>
  <c r="U12" i="5"/>
  <c r="W12" i="5" s="1" a="1"/>
  <c r="W12" i="5" s="1"/>
  <c r="W18" i="5" l="1" a="1"/>
  <c r="W18" i="5" s="1"/>
  <c r="V19" i="5" s="1" a="1"/>
  <c r="V19" i="5" s="1"/>
  <c r="W19" i="5" l="1" a="1"/>
  <c r="W19" i="5" s="1"/>
  <c r="V20" i="5" a="1"/>
  <c r="V20" i="5" s="1"/>
  <c r="W20" i="5" l="1" a="1"/>
  <c r="W20" i="5" s="1"/>
  <c r="V21" i="5" l="1" a="1"/>
  <c r="V21" i="5" s="1"/>
  <c r="W21" i="5" l="1" a="1"/>
  <c r="W21" i="5" s="1"/>
  <c r="W22" i="5" a="1"/>
  <c r="W22" i="5" s="1"/>
  <c r="V22" i="5" l="1" a="1"/>
  <c r="V22" i="5" s="1"/>
  <c r="W23" i="5" a="1"/>
  <c r="W23" i="5" s="1"/>
  <c r="V23" i="5" l="1" a="1"/>
  <c r="V23" i="5" s="1"/>
  <c r="N17" i="5" l="1"/>
  <c r="W25" i="5" a="1"/>
  <c r="W25" i="5" s="1"/>
  <c r="V26" i="5" l="1" a="1"/>
  <c r="V26" i="5" s="1"/>
  <c r="V25" i="5" a="1"/>
  <c r="V25" i="5" s="1"/>
  <c r="V17" i="5" a="1"/>
  <c r="V17" i="5" s="1"/>
  <c r="W17" i="5" l="1" a="1"/>
  <c r="W17" i="5" s="1"/>
  <c r="W26" i="5" a="1"/>
  <c r="W26" i="5" s="1"/>
  <c r="V27" i="5" l="1" a="1"/>
  <c r="V27" i="5" s="1"/>
  <c r="W27" i="5" l="1" a="1"/>
  <c r="W27" i="5" s="1"/>
  <c r="N24" i="5"/>
  <c r="V24" i="5" l="1" a="1"/>
  <c r="V24" i="5" s="1"/>
  <c r="V29" i="5" a="1"/>
  <c r="V29" i="5" s="1"/>
  <c r="W29" i="5" l="1" a="1"/>
  <c r="W29" i="5" s="1"/>
  <c r="V30" i="5" s="1" a="1"/>
  <c r="V30" i="5" s="1"/>
  <c r="W24" i="5" a="1"/>
  <c r="W24" i="5" s="1"/>
  <c r="W30" i="5" l="1" a="1"/>
  <c r="W30" i="5" s="1"/>
  <c r="V31" i="5" s="1" a="1"/>
  <c r="V31" i="5" s="1"/>
  <c r="W31" i="5" l="1" a="1"/>
  <c r="W31" i="5" s="1"/>
  <c r="W32" i="5" l="1" a="1"/>
  <c r="W32" i="5" s="1"/>
  <c r="V32" i="5" l="1" a="1"/>
  <c r="V32" i="5" s="1"/>
  <c r="N28" i="5" s="1"/>
  <c r="AA7" i="5" l="1" a="1"/>
  <c r="AA7" i="5" s="1"/>
  <c r="V28" i="5" a="1"/>
  <c r="V28" i="5" s="1"/>
  <c r="W28" i="5" s="1" a="1"/>
  <c r="W28" i="5" s="1"/>
  <c r="AJ1" i="5" s="1" a="1"/>
  <c r="AJ1" i="5" s="1"/>
  <c r="AF1" i="5" l="1" a="1"/>
  <c r="AF1" i="5" s="1"/>
  <c r="AM1" i="5" a="1"/>
  <c r="AM1" i="5" s="1"/>
  <c r="AA10" i="5"/>
  <c r="AB7" i="5"/>
  <c r="AC7" i="5" l="1"/>
  <c r="AB10" i="5"/>
  <c r="AD7" i="5" l="1"/>
  <c r="AC10" i="5"/>
  <c r="AE7" i="5" l="1"/>
  <c r="AD10" i="5"/>
  <c r="AE10" i="5" l="1"/>
  <c r="AF7" i="5"/>
  <c r="AG7" i="5" l="1"/>
  <c r="AF10" i="5"/>
  <c r="AH7" i="5" l="1"/>
  <c r="AG10" i="5"/>
  <c r="AH10" i="5" l="1"/>
  <c r="AI7" i="5"/>
  <c r="AJ7" i="5" l="1"/>
  <c r="AI10" i="5"/>
  <c r="AK7" i="5" l="1"/>
  <c r="AJ10" i="5"/>
  <c r="AL7" i="5" l="1"/>
  <c r="AK10" i="5"/>
  <c r="AL10" i="5" l="1"/>
  <c r="AM7" i="5"/>
  <c r="AM10" i="5" l="1"/>
  <c r="AN7" i="5"/>
  <c r="AN10" i="5" l="1"/>
  <c r="AO7" i="5"/>
  <c r="AP7" i="5" l="1"/>
  <c r="AO10" i="5"/>
  <c r="AP10" i="5" l="1"/>
  <c r="AQ7" i="5"/>
  <c r="AR7" i="5" l="1"/>
  <c r="AQ10" i="5"/>
  <c r="AS7" i="5" l="1"/>
  <c r="AR10" i="5"/>
  <c r="AT7" i="5" l="1"/>
  <c r="AS10" i="5"/>
  <c r="AT10" i="5" l="1"/>
  <c r="AU7" i="5"/>
  <c r="AU10" i="5" l="1"/>
  <c r="AV7" i="5"/>
  <c r="AW7" i="5" l="1"/>
  <c r="AV10" i="5"/>
  <c r="AX7" i="5" l="1"/>
  <c r="AW10" i="5"/>
  <c r="AX10" i="5" l="1"/>
  <c r="AY7" i="5"/>
  <c r="AY10" i="5" l="1"/>
  <c r="AZ7" i="5"/>
  <c r="AZ10" i="5" l="1"/>
  <c r="BA7" i="5"/>
  <c r="BA10" i="5" l="1"/>
  <c r="BB7" i="5"/>
  <c r="BC7" i="5" l="1"/>
  <c r="BB10" i="5"/>
  <c r="BC10" i="5" l="1"/>
  <c r="BD7" i="5"/>
  <c r="BE7" i="5" l="1"/>
  <c r="BD10" i="5"/>
  <c r="BE10" i="5" l="1"/>
  <c r="BF7" i="5"/>
  <c r="BG7" i="5" l="1"/>
  <c r="BF10" i="5"/>
  <c r="BH7" i="5" l="1"/>
  <c r="BG10" i="5"/>
  <c r="BH10" i="5" l="1"/>
  <c r="BI7" i="5"/>
  <c r="BJ7" i="5" l="1"/>
  <c r="BI10" i="5"/>
  <c r="BJ10" i="5" l="1"/>
  <c r="BK7" i="5"/>
  <c r="BK10" i="5" l="1"/>
  <c r="BL7" i="5"/>
  <c r="BM7" i="5" l="1"/>
  <c r="BL10" i="5"/>
  <c r="BM10" i="5" l="1"/>
  <c r="BN7" i="5"/>
  <c r="BN10" i="5" l="1"/>
  <c r="BO7" i="5"/>
  <c r="BP7" i="5" l="1"/>
  <c r="BO10" i="5"/>
  <c r="BP10" i="5" l="1"/>
  <c r="BQ7" i="5"/>
  <c r="BQ10" i="5" l="1"/>
  <c r="BR7" i="5"/>
  <c r="BR10" i="5" l="1"/>
  <c r="BS7" i="5"/>
  <c r="BT7" i="5" l="1"/>
  <c r="BS10" i="5"/>
  <c r="BT10" i="5" l="1"/>
  <c r="BU7" i="5"/>
  <c r="BV7" i="5" l="1"/>
  <c r="BU10" i="5"/>
  <c r="BV10" i="5" l="1"/>
  <c r="BW7" i="5"/>
  <c r="BX7" i="5" l="1"/>
  <c r="BW10" i="5"/>
  <c r="BX10" i="5" l="1"/>
  <c r="BY7" i="5"/>
  <c r="BY1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<sst xmlns="http://schemas.openxmlformats.org/spreadsheetml/2006/main" count="166" uniqueCount="100">
  <si>
    <t>עמודה להכנסת נתונים</t>
  </si>
  <si>
    <t>עמודה למחושבת</t>
  </si>
  <si>
    <t>זהות</t>
  </si>
  <si>
    <t>נתוני פריט</t>
  </si>
  <si>
    <t>תוכנית נוכחית</t>
  </si>
  <si>
    <t>תוכנית מקור</t>
  </si>
  <si>
    <t>עודכן בתאריך:</t>
  </si>
  <si>
    <t>נשמר בתאריך:</t>
  </si>
  <si>
    <t>מס"ד</t>
  </si>
  <si>
    <t>מס"ד שלב</t>
  </si>
  <si>
    <t>סוג</t>
  </si>
  <si>
    <t>תיאור</t>
  </si>
  <si>
    <t>תפקיד</t>
  </si>
  <si>
    <t>חבר צוות</t>
  </si>
  <si>
    <t>⚠</t>
  </si>
  <si>
    <t>סוף</t>
  </si>
  <si>
    <t>התחלה</t>
  </si>
  <si>
    <t>ימי עבודה</t>
  </si>
  <si>
    <t>תאריך התחלה יד.</t>
  </si>
  <si>
    <t>תאריך סוף יד.</t>
  </si>
  <si>
    <t>מס"ד  מות.</t>
  </si>
  <si>
    <t>פריט מותנה</t>
  </si>
  <si>
    <t>קשר התניה</t>
  </si>
  <si>
    <t>ריווח התניה</t>
  </si>
  <si>
    <t>%</t>
  </si>
  <si>
    <t>שם פרויקט:</t>
  </si>
  <si>
    <t>מנהל פרויקט:</t>
  </si>
  <si>
    <t>דחיפות פרויקט:</t>
  </si>
  <si>
    <t>-</t>
  </si>
  <si>
    <t>תקופת פרויקט:</t>
  </si>
  <si>
    <t>הגדרות תאריכים</t>
  </si>
  <si>
    <t>סידור שבוע:</t>
  </si>
  <si>
    <t>יום ראשון:</t>
  </si>
  <si>
    <t>יום שני:</t>
  </si>
  <si>
    <t>יום שלישי:</t>
  </si>
  <si>
    <t>יום רביעי:</t>
  </si>
  <si>
    <t>יום חמישי:</t>
  </si>
  <si>
    <t>יום שישי:</t>
  </si>
  <si>
    <t>יום שבת:</t>
  </si>
  <si>
    <t>יום חול</t>
  </si>
  <si>
    <t>סופש</t>
  </si>
  <si>
    <t>שם תפקיד</t>
  </si>
  <si>
    <t>שם</t>
  </si>
  <si>
    <t>צבע לפי</t>
  </si>
  <si>
    <t>מס"ד תפקיד</t>
  </si>
  <si>
    <t>מבנה פרויקט</t>
  </si>
  <si>
    <t>תצוגה</t>
  </si>
  <si>
    <t>תוכנית</t>
  </si>
  <si>
    <t>ספירה</t>
  </si>
  <si>
    <t>תפקידים בפרויקט</t>
  </si>
  <si>
    <t>חברי צוות בפרויקט</t>
  </si>
  <si>
    <t>מידע כללי</t>
  </si>
  <si>
    <t>הצג התקדמות</t>
  </si>
  <si>
    <t>הדגש</t>
  </si>
  <si>
    <t>עמודת תוכנית מקור</t>
  </si>
  <si>
    <t>הגדרות</t>
  </si>
  <si>
    <t>היום</t>
  </si>
  <si>
    <t>לא</t>
  </si>
  <si>
    <t>נתי וורקנך</t>
  </si>
  <si>
    <t>גבוהה</t>
  </si>
  <si>
    <t xml:space="preserve">עוז אופיר </t>
  </si>
  <si>
    <t>אבישי גרוס</t>
  </si>
  <si>
    <t>שי נואיבר</t>
  </si>
  <si>
    <t>PM</t>
  </si>
  <si>
    <t>Project Manager</t>
  </si>
  <si>
    <t>Sales Manager</t>
  </si>
  <si>
    <t>Application Coordinator</t>
  </si>
  <si>
    <t>Data Coordinator</t>
  </si>
  <si>
    <t>SM</t>
  </si>
  <si>
    <t>DC</t>
  </si>
  <si>
    <t>AP</t>
  </si>
  <si>
    <t>S</t>
  </si>
  <si>
    <t>T</t>
  </si>
  <si>
    <t>M</t>
  </si>
  <si>
    <t>שיווק</t>
  </si>
  <si>
    <t>FS</t>
  </si>
  <si>
    <t>FF</t>
  </si>
  <si>
    <t>SS</t>
  </si>
  <si>
    <t>SF</t>
  </si>
  <si>
    <t>הקמה</t>
  </si>
  <si>
    <t>הגדרת יעדי הפרויקט</t>
  </si>
  <si>
    <t>מיתוג ועיצוב חזותי</t>
  </si>
  <si>
    <t>חלוקת משימות ותכנון צוות</t>
  </si>
  <si>
    <t>סיכום שלב ההקמה</t>
  </si>
  <si>
    <t>בניית אפליקציה</t>
  </si>
  <si>
    <t>אפיון מערכת ודרישות</t>
  </si>
  <si>
    <t>בניית תשתית נתונים</t>
  </si>
  <si>
    <t>פיתוח אפליקציה ואתר</t>
  </si>
  <si>
    <t>עיצוב חוויית משתמש (UX/UI)</t>
  </si>
  <si>
    <t>בדיקות ואבטחת איכות</t>
  </si>
  <si>
    <t>סיכום שלב הפיתוח</t>
  </si>
  <si>
    <t>פיתוח נוכחות ברשתות חברתיות</t>
  </si>
  <si>
    <t>תקשורת מול גני אירועים</t>
  </si>
  <si>
    <t>הפקת תכני צילום</t>
  </si>
  <si>
    <t>שירות לקוחות</t>
  </si>
  <si>
    <t>התקשרות ספקים (צילום דיגיטלי)</t>
  </si>
  <si>
    <t>ניהול קשרי גני אירועים</t>
  </si>
  <si>
    <t>ניהול קשרי זוגות</t>
  </si>
  <si>
    <t>סיכום וסגירת הפרויקט</t>
  </si>
  <si>
    <t>WedPlanner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</si>
</sst>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D]dd\ mmm\ yy"/>
    <numFmt numFmtId="165" formatCode="[$-40D]dd\-mmm\-yy"/>
    <numFmt numFmtId="166" formatCode=";;;"/>
    <numFmt numFmtId="167" formatCode="[$-1040D]d\ mmmm\ yyyy;@"/>
    <numFmt numFmtId="168" formatCode="\:;;"/>
  </numFmts>
  <fonts count="33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2"/>
      <scheme val="major"/>
    </font>
    <font>
      <b/>
      <sz val="16"/>
      <color rgb="FF760094"/>
      <name val="Times New Roman"/>
      <family val="2"/>
      <scheme val="major"/>
    </font>
    <font>
      <b/>
      <sz val="16"/>
      <color rgb="FF00946E"/>
      <name val="Times New Roman"/>
      <family val="2"/>
      <scheme val="major"/>
    </font>
    <font>
      <b/>
      <sz val="16"/>
      <color rgb="FFB31ADA"/>
      <name val="Times New Roman"/>
      <family val="2"/>
      <scheme val="major"/>
    </font>
    <font>
      <b/>
      <sz val="16"/>
      <color rgb="FF00B45D"/>
      <name val="Times New Roman"/>
      <family val="2"/>
      <scheme val="major"/>
    </font>
    <font>
      <sz val="16"/>
      <color theme="1"/>
      <name val="Times New Roman"/>
      <family val="2"/>
      <scheme val="major"/>
    </font>
    <font>
      <b/>
      <sz val="16"/>
      <color rgb="FF00D748"/>
      <name val="Times New Roman"/>
      <family val="2"/>
      <scheme val="major"/>
    </font>
    <font>
      <sz val="11"/>
      <color theme="0"/>
      <name val="Times New Roman"/>
      <family val="2"/>
      <scheme val="major"/>
    </font>
    <font>
      <sz val="11"/>
      <color theme="5" tint="-0.499984740745262"/>
      <name val="Times New Roman"/>
      <family val="2"/>
      <scheme val="major"/>
    </font>
    <font>
      <sz val="10"/>
      <color theme="1"/>
      <name val="Times New Roman"/>
      <family val="2"/>
      <scheme val="major"/>
    </font>
    <font>
      <b/>
      <sz val="36"/>
      <color theme="0"/>
      <name val="Times New Roman"/>
      <family val="2"/>
      <scheme val="major"/>
    </font>
    <font>
      <sz val="9"/>
      <color theme="0"/>
      <name val="Times New Roman"/>
      <family val="2"/>
      <scheme val="major"/>
    </font>
    <font>
      <sz val="11"/>
      <color theme="1"/>
      <name val="Arial"/>
      <family val="2"/>
      <scheme val="minor"/>
    </font>
    <font>
      <b/>
      <sz val="11"/>
      <color theme="1"/>
      <name val="Times New Roman"/>
      <family val="2"/>
      <scheme val="major"/>
    </font>
    <font>
      <b/>
      <sz val="11"/>
      <color theme="0"/>
      <name val="Times New Roman"/>
      <family val="2"/>
      <scheme val="major"/>
    </font>
    <font>
      <sz val="8"/>
      <name val="Arial"/>
      <family val="2"/>
      <scheme val="minor"/>
    </font>
    <font>
      <sz val="11"/>
      <color theme="1"/>
      <name val="Calibri"/>
    </font>
    <font>
      <b/>
      <sz val="36"/>
      <color theme="0"/>
      <name val="Calibri"/>
    </font>
    <font>
      <sz val="11"/>
      <color theme="0"/>
      <name val="Calibri"/>
    </font>
    <font>
      <sz val="9"/>
      <color theme="0"/>
      <name val="Calibri"/>
    </font>
    <font>
      <sz val="9"/>
      <color theme="1"/>
      <name val="Calibri"/>
    </font>
    <font>
      <sz val="10"/>
      <color theme="0"/>
      <name val="Calibri"/>
    </font>
    <font>
      <sz val="10"/>
      <color theme="1"/>
      <name val="Calibri"/>
    </font>
    <font>
      <i/>
      <sz val="11"/>
      <color theme="0"/>
      <name val="Calibri"/>
    </font>
    <font>
      <sz val="8"/>
      <color theme="1"/>
      <name val="Calibri"/>
    </font>
    <font>
      <i/>
      <sz val="11"/>
      <color theme="1"/>
      <name val="Calibri"/>
    </font>
    <font>
      <i/>
      <sz val="10"/>
      <color theme="1"/>
      <name val="Calibri"/>
    </font>
    <font>
      <i/>
      <sz val="9"/>
      <name val="Calibri"/>
    </font>
    <font>
      <b/>
      <sz val="11"/>
      <name val="Calibri"/>
    </font>
    <font>
      <sz val="10"/>
      <color theme="0" tint="-0.34998626667073579"/>
      <name val="Calibri"/>
    </font>
    <font>
      <sz val="10"/>
      <color theme="0" tint="-0.499984740745262"/>
      <name val="Calibri"/>
    </font>
    <font>
      <sz val="9"/>
      <color theme="0" tint="-0.34998626667073579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DAFEE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EDF1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2F3B52"/>
        <bgColor indexed="64"/>
      </patternFill>
    </fill>
    <fill>
      <patternFill patternType="solid">
        <fgColor rgb="FFDDEBF7"/>
        <bgColor indexed="64"/>
      </patternFill>
    </fill>
  </fills>
  <borders count="3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0.14996795556505021"/>
      </right>
      <top/>
      <bottom style="thin">
        <color theme="0" tint="-4.9989318521683403E-2"/>
      </bottom>
      <diagonal/>
    </border>
    <border>
      <left/>
      <right/>
      <top style="thin">
        <color theme="0" tint="-0.14996795556505021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0.149967955565050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0.14996795556505021"/>
      </right>
      <top style="thin">
        <color theme="0" tint="-4.9989318521683403E-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4.9989318521683403E-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hair">
        <color theme="0" tint="-0.14993743705557422"/>
      </top>
      <bottom style="hair">
        <color theme="0" tint="-0.14993743705557422"/>
      </bottom>
      <diagonal/>
    </border>
    <border>
      <left/>
      <right/>
      <top/>
      <bottom style="hair">
        <color theme="0" tint="-0.14993743705557422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right" indent="1"/>
    </xf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3" xfId="0" applyFont="1" applyBorder="1"/>
    <xf numFmtId="0" fontId="1" fillId="0" borderId="22" xfId="0" applyFont="1" applyBorder="1"/>
    <xf numFmtId="0" fontId="1" fillId="0" borderId="0" xfId="0" applyFont="1" applyAlignment="1">
      <alignment horizontal="left"/>
    </xf>
    <xf numFmtId="0" fontId="1" fillId="2" borderId="15" xfId="0" applyFont="1" applyFill="1" applyBorder="1" applyAlignment="1">
      <alignment horizontal="center" vertical="center"/>
    </xf>
    <xf numFmtId="166" fontId="1" fillId="0" borderId="20" xfId="0" applyNumberFormat="1" applyFont="1" applyBorder="1"/>
    <xf numFmtId="166" fontId="1" fillId="0" borderId="0" xfId="0" applyNumberFormat="1" applyFont="1"/>
    <xf numFmtId="0" fontId="1" fillId="0" borderId="23" xfId="0" applyFont="1" applyBorder="1" applyAlignment="1">
      <alignment horizontal="right"/>
    </xf>
    <xf numFmtId="0" fontId="11" fillId="4" borderId="0" xfId="0" applyFont="1" applyFill="1" applyAlignment="1">
      <alignment horizontal="right" vertical="center" readingOrder="2"/>
    </xf>
    <xf numFmtId="0" fontId="8" fillId="4" borderId="0" xfId="0" applyFont="1" applyFill="1" applyAlignment="1">
      <alignment horizontal="right" vertical="center" readingOrder="2"/>
    </xf>
    <xf numFmtId="164" fontId="12" fillId="4" borderId="0" xfId="0" applyNumberFormat="1" applyFont="1" applyFill="1" applyAlignment="1">
      <alignment horizontal="right" vertical="center" readingOrder="2"/>
    </xf>
    <xf numFmtId="0" fontId="1" fillId="0" borderId="0" xfId="0" applyFont="1" applyAlignment="1">
      <alignment readingOrder="2"/>
    </xf>
    <xf numFmtId="0" fontId="8" fillId="0" borderId="0" xfId="0" applyFont="1" applyAlignment="1">
      <alignment readingOrder="2"/>
    </xf>
    <xf numFmtId="0" fontId="10" fillId="0" borderId="0" xfId="0" applyFont="1" applyAlignment="1">
      <alignment readingOrder="2"/>
    </xf>
    <xf numFmtId="164" fontId="12" fillId="4" borderId="0" xfId="0" applyNumberFormat="1" applyFont="1" applyFill="1" applyAlignment="1">
      <alignment horizontal="center" vertical="center" readingOrder="2"/>
    </xf>
    <xf numFmtId="0" fontId="9" fillId="0" borderId="28" xfId="0" applyFont="1" applyBorder="1"/>
    <xf numFmtId="0" fontId="9" fillId="0" borderId="28" xfId="0" applyFont="1" applyBorder="1" applyAlignment="1">
      <alignment horizontal="right"/>
    </xf>
    <xf numFmtId="0" fontId="14" fillId="0" borderId="29" xfId="0" applyFont="1" applyBorder="1" applyAlignment="1">
      <alignment horizontal="right"/>
    </xf>
    <xf numFmtId="0" fontId="9" fillId="2" borderId="28" xfId="0" applyFont="1" applyFill="1" applyBorder="1"/>
    <xf numFmtId="0" fontId="1" fillId="2" borderId="28" xfId="0" applyFont="1" applyFill="1" applyBorder="1" applyAlignment="1">
      <alignment horizontal="right"/>
    </xf>
    <xf numFmtId="0" fontId="9" fillId="0" borderId="1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" fillId="4" borderId="0" xfId="0" applyFont="1" applyFill="1" applyAlignment="1">
      <alignment readingOrder="2"/>
    </xf>
    <xf numFmtId="0" fontId="1" fillId="4" borderId="0" xfId="0" applyFont="1" applyFill="1"/>
    <xf numFmtId="0" fontId="1" fillId="7" borderId="0" xfId="0" applyFont="1" applyFill="1" applyAlignment="1">
      <alignment readingOrder="2"/>
    </xf>
    <xf numFmtId="164" fontId="12" fillId="4" borderId="0" xfId="0" applyNumberFormat="1" applyFont="1" applyFill="1" applyAlignment="1">
      <alignment horizontal="right" vertical="center" readingOrder="2"/>
    </xf>
    <xf numFmtId="0" fontId="8" fillId="4" borderId="0" xfId="0" applyFont="1" applyFill="1" applyAlignment="1">
      <alignment horizontal="right" vertical="center" readingOrder="2"/>
    </xf>
    <xf numFmtId="0" fontId="15" fillId="3" borderId="17" xfId="0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164" fontId="12" fillId="4" borderId="0" xfId="0" applyNumberFormat="1" applyFont="1" applyFill="1" applyAlignment="1">
      <alignment horizontal="left" vertical="center" readingOrder="2"/>
    </xf>
    <xf numFmtId="0" fontId="17" fillId="7" borderId="0" xfId="0" applyFont="1" applyFill="1" applyAlignment="1">
      <alignment readingOrder="2"/>
    </xf>
    <xf numFmtId="0" fontId="18" fillId="8" borderId="0" xfId="0" applyFont="1" applyFill="1" applyAlignment="1">
      <alignment horizontal="right" vertical="center" readingOrder="2"/>
    </xf>
    <xf numFmtId="0" fontId="19" fillId="8" borderId="0" xfId="0" applyFont="1" applyFill="1" applyAlignment="1">
      <alignment horizontal="right" vertical="center" readingOrder="2"/>
    </xf>
    <xf numFmtId="0" fontId="19" fillId="8" borderId="0" xfId="0" applyFont="1" applyFill="1" applyAlignment="1">
      <alignment horizontal="right" vertical="center" readingOrder="2"/>
    </xf>
    <xf numFmtId="164" fontId="20" fillId="8" borderId="0" xfId="0" applyNumberFormat="1" applyFont="1" applyFill="1" applyAlignment="1">
      <alignment horizontal="left" vertical="center" readingOrder="2"/>
    </xf>
    <xf numFmtId="164" fontId="20" fillId="8" borderId="0" xfId="0" applyNumberFormat="1" applyFont="1" applyFill="1" applyAlignment="1">
      <alignment horizontal="center" vertical="center" readingOrder="2"/>
    </xf>
    <xf numFmtId="164" fontId="20" fillId="8" borderId="0" xfId="0" applyNumberFormat="1" applyFont="1" applyFill="1" applyAlignment="1">
      <alignment horizontal="right" vertical="center" readingOrder="2"/>
    </xf>
    <xf numFmtId="164" fontId="20" fillId="8" borderId="0" xfId="0" applyNumberFormat="1" applyFont="1" applyFill="1" applyAlignment="1">
      <alignment horizontal="right" vertical="center" readingOrder="2"/>
    </xf>
    <xf numFmtId="0" fontId="19" fillId="7" borderId="0" xfId="0" applyFont="1" applyFill="1" applyAlignment="1">
      <alignment horizontal="right" vertical="center" readingOrder="2"/>
    </xf>
    <xf numFmtId="0" fontId="19" fillId="7" borderId="0" xfId="0" applyFont="1" applyFill="1" applyAlignment="1">
      <alignment horizontal="right" vertical="center" readingOrder="2"/>
    </xf>
    <xf numFmtId="0" fontId="17" fillId="0" borderId="0" xfId="0" applyFont="1" applyAlignment="1">
      <alignment readingOrder="2"/>
    </xf>
    <xf numFmtId="164" fontId="21" fillId="0" borderId="0" xfId="0" applyNumberFormat="1" applyFont="1" applyAlignment="1">
      <alignment vertical="center" readingOrder="2"/>
    </xf>
    <xf numFmtId="0" fontId="19" fillId="8" borderId="0" xfId="0" applyFont="1" applyFill="1" applyAlignment="1">
      <alignment horizontal="center" vertical="center" readingOrder="2"/>
    </xf>
    <xf numFmtId="0" fontId="17" fillId="0" borderId="26" xfId="0" applyFont="1" applyBorder="1" applyAlignment="1">
      <alignment horizontal="center" vertical="center" readingOrder="2"/>
    </xf>
    <xf numFmtId="0" fontId="17" fillId="0" borderId="25" xfId="0" applyFont="1" applyBorder="1" applyAlignment="1">
      <alignment horizontal="center" vertical="center" readingOrder="2"/>
    </xf>
    <xf numFmtId="0" fontId="17" fillId="0" borderId="27" xfId="0" applyFont="1" applyBorder="1" applyAlignment="1">
      <alignment horizontal="center" vertical="center" readingOrder="2"/>
    </xf>
    <xf numFmtId="0" fontId="22" fillId="11" borderId="0" xfId="0" applyFont="1" applyFill="1" applyAlignment="1">
      <alignment horizontal="center" vertical="center" wrapText="1" readingOrder="2"/>
    </xf>
    <xf numFmtId="0" fontId="23" fillId="14" borderId="26" xfId="0" applyFont="1" applyFill="1" applyBorder="1" applyAlignment="1">
      <alignment horizontal="center" vertical="center" readingOrder="2"/>
    </xf>
    <xf numFmtId="0" fontId="23" fillId="14" borderId="25" xfId="0" applyFont="1" applyFill="1" applyBorder="1" applyAlignment="1">
      <alignment horizontal="center" vertical="center" readingOrder="2"/>
    </xf>
    <xf numFmtId="0" fontId="23" fillId="14" borderId="27" xfId="0" applyFont="1" applyFill="1" applyBorder="1" applyAlignment="1">
      <alignment horizontal="center" vertical="center" readingOrder="2"/>
    </xf>
    <xf numFmtId="167" fontId="23" fillId="14" borderId="26" xfId="0" applyNumberFormat="1" applyFont="1" applyFill="1" applyBorder="1" applyAlignment="1">
      <alignment horizontal="center" vertical="center" readingOrder="2"/>
    </xf>
    <xf numFmtId="167" fontId="23" fillId="14" borderId="25" xfId="0" applyNumberFormat="1" applyFont="1" applyFill="1" applyBorder="1" applyAlignment="1">
      <alignment horizontal="center" vertical="center" readingOrder="2"/>
    </xf>
    <xf numFmtId="167" fontId="23" fillId="5" borderId="25" xfId="0" applyNumberFormat="1" applyFont="1" applyFill="1" applyBorder="1" applyAlignment="1">
      <alignment horizontal="center" vertical="center" readingOrder="2"/>
    </xf>
    <xf numFmtId="167" fontId="23" fillId="5" borderId="27" xfId="0" applyNumberFormat="1" applyFont="1" applyFill="1" applyBorder="1" applyAlignment="1">
      <alignment horizontal="center" vertical="center" readingOrder="2"/>
    </xf>
    <xf numFmtId="0" fontId="19" fillId="9" borderId="0" xfId="0" applyFont="1" applyFill="1" applyAlignment="1">
      <alignment horizontal="center" vertical="center" readingOrder="2"/>
    </xf>
    <xf numFmtId="0" fontId="17" fillId="0" borderId="0" xfId="0" applyFont="1" applyAlignment="1">
      <alignment horizontal="right" readingOrder="2"/>
    </xf>
    <xf numFmtId="0" fontId="24" fillId="8" borderId="1" xfId="0" applyFont="1" applyFill="1" applyBorder="1" applyAlignment="1">
      <alignment horizontal="center" readingOrder="2"/>
    </xf>
    <xf numFmtId="0" fontId="24" fillId="9" borderId="1" xfId="0" applyFont="1" applyFill="1" applyBorder="1" applyAlignment="1">
      <alignment horizontal="center" readingOrder="2"/>
    </xf>
    <xf numFmtId="168" fontId="19" fillId="6" borderId="0" xfId="0" applyNumberFormat="1" applyFont="1" applyFill="1" applyAlignment="1">
      <alignment readingOrder="2"/>
    </xf>
    <xf numFmtId="165" fontId="25" fillId="10" borderId="0" xfId="0" applyNumberFormat="1" applyFont="1" applyFill="1" applyAlignment="1">
      <alignment horizontal="center" vertical="top" textRotation="90"/>
    </xf>
    <xf numFmtId="0" fontId="26" fillId="10" borderId="1" xfId="0" applyFont="1" applyFill="1" applyBorder="1" applyAlignment="1">
      <alignment horizontal="center" readingOrder="2"/>
    </xf>
    <xf numFmtId="0" fontId="19" fillId="6" borderId="0" xfId="0" applyFont="1" applyFill="1" applyAlignment="1">
      <alignment readingOrder="2"/>
    </xf>
    <xf numFmtId="0" fontId="27" fillId="0" borderId="1" xfId="0" applyFont="1" applyBorder="1" applyAlignment="1">
      <alignment horizontal="center" readingOrder="2"/>
    </xf>
    <xf numFmtId="14" fontId="28" fillId="0" borderId="1" xfId="0" applyNumberFormat="1" applyFont="1" applyBorder="1" applyAlignment="1">
      <alignment horizontal="center" readingOrder="2"/>
    </xf>
    <xf numFmtId="0" fontId="28" fillId="0" borderId="1" xfId="0" applyFont="1" applyBorder="1" applyAlignment="1">
      <alignment horizontal="center" readingOrder="2"/>
    </xf>
    <xf numFmtId="0" fontId="27" fillId="0" borderId="0" xfId="0" applyFont="1" applyAlignment="1">
      <alignment readingOrder="2"/>
    </xf>
    <xf numFmtId="0" fontId="19" fillId="7" borderId="0" xfId="0" applyFont="1" applyFill="1" applyAlignment="1">
      <alignment readingOrder="2"/>
    </xf>
    <xf numFmtId="0" fontId="29" fillId="0" borderId="0" xfId="0" applyFont="1" applyAlignment="1">
      <alignment horizontal="center" vertical="center" readingOrder="2"/>
    </xf>
    <xf numFmtId="0" fontId="22" fillId="11" borderId="2" xfId="0" applyFont="1" applyFill="1" applyBorder="1" applyAlignment="1">
      <alignment horizontal="center" vertical="center" wrapText="1" readingOrder="2"/>
    </xf>
    <xf numFmtId="0" fontId="22" fillId="11" borderId="3" xfId="0" applyFont="1" applyFill="1" applyBorder="1" applyAlignment="1">
      <alignment horizontal="center" vertical="center" wrapText="1" readingOrder="2"/>
    </xf>
    <xf numFmtId="0" fontId="22" fillId="11" borderId="4" xfId="0" applyFont="1" applyFill="1" applyBorder="1" applyAlignment="1">
      <alignment horizontal="center" vertical="center" wrapText="1" readingOrder="2"/>
    </xf>
    <xf numFmtId="0" fontId="19" fillId="8" borderId="2" xfId="0" applyFont="1" applyFill="1" applyBorder="1" applyAlignment="1">
      <alignment horizontal="center" vertical="center" readingOrder="2"/>
    </xf>
    <xf numFmtId="0" fontId="19" fillId="8" borderId="3" xfId="0" applyFont="1" applyFill="1" applyBorder="1" applyAlignment="1">
      <alignment horizontal="center" vertical="center" readingOrder="2"/>
    </xf>
    <xf numFmtId="0" fontId="19" fillId="12" borderId="3" xfId="0" applyFont="1" applyFill="1" applyBorder="1" applyAlignment="1">
      <alignment horizontal="center" vertical="center" readingOrder="2"/>
    </xf>
    <xf numFmtId="0" fontId="19" fillId="11" borderId="3" xfId="0" applyFont="1" applyFill="1" applyBorder="1" applyAlignment="1">
      <alignment horizontal="center" vertical="center" readingOrder="2"/>
    </xf>
    <xf numFmtId="0" fontId="19" fillId="8" borderId="4" xfId="0" applyFont="1" applyFill="1" applyBorder="1" applyAlignment="1">
      <alignment horizontal="center" vertical="center" readingOrder="2"/>
    </xf>
    <xf numFmtId="0" fontId="19" fillId="8" borderId="2" xfId="0" applyFont="1" applyFill="1" applyBorder="1" applyAlignment="1">
      <alignment horizontal="center" vertical="center" wrapText="1" readingOrder="2"/>
    </xf>
    <xf numFmtId="0" fontId="19" fillId="8" borderId="4" xfId="0" applyFont="1" applyFill="1" applyBorder="1" applyAlignment="1">
      <alignment horizontal="center" vertical="center" wrapText="1" readingOrder="2"/>
    </xf>
    <xf numFmtId="0" fontId="19" fillId="11" borderId="5" xfId="0" applyFont="1" applyFill="1" applyBorder="1" applyAlignment="1">
      <alignment horizontal="center" vertical="center" wrapText="1" readingOrder="2"/>
    </xf>
    <xf numFmtId="0" fontId="19" fillId="8" borderId="3" xfId="0" applyFont="1" applyFill="1" applyBorder="1" applyAlignment="1">
      <alignment horizontal="center" vertical="center" wrapText="1" readingOrder="2"/>
    </xf>
    <xf numFmtId="0" fontId="19" fillId="8" borderId="6" xfId="0" applyFont="1" applyFill="1" applyBorder="1" applyAlignment="1">
      <alignment horizontal="center" vertical="center" wrapText="1" readingOrder="2"/>
    </xf>
    <xf numFmtId="0" fontId="19" fillId="11" borderId="2" xfId="0" applyFont="1" applyFill="1" applyBorder="1" applyAlignment="1">
      <alignment horizontal="center" vertical="center" readingOrder="2"/>
    </xf>
    <xf numFmtId="0" fontId="19" fillId="11" borderId="4" xfId="0" applyFont="1" applyFill="1" applyBorder="1" applyAlignment="1">
      <alignment horizontal="center" vertical="center" readingOrder="2"/>
    </xf>
    <xf numFmtId="0" fontId="19" fillId="9" borderId="2" xfId="0" applyFont="1" applyFill="1" applyBorder="1" applyAlignment="1">
      <alignment horizontal="center" vertical="center" readingOrder="2"/>
    </xf>
    <xf numFmtId="0" fontId="19" fillId="9" borderId="4" xfId="0" applyFont="1" applyFill="1" applyBorder="1" applyAlignment="1">
      <alignment horizontal="center" vertical="center" readingOrder="2"/>
    </xf>
    <xf numFmtId="0" fontId="19" fillId="11" borderId="6" xfId="0" applyFont="1" applyFill="1" applyBorder="1" applyAlignment="1">
      <alignment horizontal="center" vertical="center" readingOrder="2"/>
    </xf>
    <xf numFmtId="0" fontId="19" fillId="13" borderId="3" xfId="0" applyFont="1" applyFill="1" applyBorder="1" applyAlignment="1">
      <alignment horizontal="center" vertical="center" wrapText="1" readingOrder="2"/>
    </xf>
    <xf numFmtId="0" fontId="17" fillId="0" borderId="7" xfId="0" applyFont="1" applyBorder="1" applyAlignment="1">
      <alignment readingOrder="2"/>
    </xf>
    <xf numFmtId="0" fontId="17" fillId="0" borderId="8" xfId="0" applyFont="1" applyBorder="1" applyAlignment="1">
      <alignment readingOrder="2"/>
    </xf>
    <xf numFmtId="0" fontId="17" fillId="0" borderId="9" xfId="0" applyFont="1" applyBorder="1" applyAlignment="1">
      <alignment readingOrder="2"/>
    </xf>
    <xf numFmtId="0" fontId="17" fillId="0" borderId="12" xfId="0" applyFont="1" applyBorder="1" applyAlignment="1">
      <alignment readingOrder="2"/>
    </xf>
    <xf numFmtId="0" fontId="17" fillId="0" borderId="10" xfId="0" applyFont="1" applyBorder="1" applyAlignment="1">
      <alignment readingOrder="2"/>
    </xf>
    <xf numFmtId="0" fontId="23" fillId="7" borderId="0" xfId="0" applyFont="1" applyFill="1" applyAlignment="1">
      <alignment readingOrder="2"/>
    </xf>
    <xf numFmtId="0" fontId="23" fillId="0" borderId="0" xfId="0" applyFont="1" applyAlignment="1">
      <alignment readingOrder="2"/>
    </xf>
    <xf numFmtId="0" fontId="25" fillId="0" borderId="7" xfId="0" applyFont="1" applyBorder="1" applyAlignment="1">
      <alignment horizontal="center" vertical="center" readingOrder="2"/>
    </xf>
    <xf numFmtId="0" fontId="25" fillId="0" borderId="8" xfId="0" applyFont="1" applyBorder="1" applyAlignment="1">
      <alignment horizontal="center" vertical="center" readingOrder="2"/>
    </xf>
    <xf numFmtId="0" fontId="25" fillId="0" borderId="9" xfId="0" applyFont="1" applyBorder="1" applyAlignment="1">
      <alignment horizontal="center" vertical="center" readingOrder="2"/>
    </xf>
    <xf numFmtId="0" fontId="23" fillId="0" borderId="7" xfId="0" applyFont="1" applyBorder="1" applyAlignment="1">
      <alignment horizontal="center" vertical="center" readingOrder="2"/>
    </xf>
    <xf numFmtId="0" fontId="23" fillId="0" borderId="8" xfId="0" applyFont="1" applyBorder="1" applyAlignment="1">
      <alignment readingOrder="2"/>
    </xf>
    <xf numFmtId="0" fontId="30" fillId="0" borderId="8" xfId="0" applyFont="1" applyBorder="1" applyAlignment="1">
      <alignment horizontal="center" readingOrder="2"/>
    </xf>
    <xf numFmtId="0" fontId="23" fillId="0" borderId="9" xfId="0" applyFont="1" applyBorder="1" applyAlignment="1">
      <alignment horizontal="center" vertical="center" readingOrder="2"/>
    </xf>
    <xf numFmtId="165" fontId="23" fillId="0" borderId="7" xfId="0" applyNumberFormat="1" applyFont="1" applyBorder="1" applyAlignment="1">
      <alignment horizontal="center" vertical="center" readingOrder="2"/>
    </xf>
    <xf numFmtId="165" fontId="23" fillId="0" borderId="9" xfId="0" applyNumberFormat="1" applyFont="1" applyBorder="1" applyAlignment="1">
      <alignment readingOrder="2"/>
    </xf>
    <xf numFmtId="0" fontId="23" fillId="0" borderId="7" xfId="0" applyFont="1" applyBorder="1" applyAlignment="1">
      <alignment readingOrder="2"/>
    </xf>
    <xf numFmtId="0" fontId="31" fillId="0" borderId="8" xfId="0" applyFont="1" applyBorder="1" applyAlignment="1">
      <alignment horizontal="center" vertical="center" readingOrder="2"/>
    </xf>
    <xf numFmtId="0" fontId="31" fillId="0" borderId="8" xfId="0" applyFont="1" applyBorder="1" applyAlignment="1">
      <alignment horizontal="right" readingOrder="2"/>
    </xf>
    <xf numFmtId="0" fontId="23" fillId="0" borderId="8" xfId="0" applyFont="1" applyBorder="1" applyAlignment="1">
      <alignment horizontal="center" vertical="center" readingOrder="2"/>
    </xf>
    <xf numFmtId="0" fontId="23" fillId="0" borderId="10" xfId="0" applyFont="1" applyBorder="1" applyAlignment="1">
      <alignment horizontal="center" vertical="center" readingOrder="2"/>
    </xf>
    <xf numFmtId="165" fontId="23" fillId="0" borderId="7" xfId="0" applyNumberFormat="1" applyFont="1" applyBorder="1" applyAlignment="1">
      <alignment readingOrder="2"/>
    </xf>
    <xf numFmtId="165" fontId="32" fillId="0" borderId="7" xfId="0" applyNumberFormat="1" applyFont="1" applyBorder="1" applyAlignment="1">
      <alignment readingOrder="2"/>
    </xf>
    <xf numFmtId="165" fontId="32" fillId="0" borderId="9" xfId="0" applyNumberFormat="1" applyFont="1" applyBorder="1" applyAlignment="1">
      <alignment readingOrder="2"/>
    </xf>
    <xf numFmtId="9" fontId="23" fillId="0" borderId="10" xfId="1" applyFont="1" applyBorder="1" applyAlignment="1">
      <alignment readingOrder="2"/>
    </xf>
    <xf numFmtId="166" fontId="17" fillId="0" borderId="8" xfId="0" applyNumberFormat="1" applyFont="1" applyBorder="1" applyAlignment="1">
      <alignment horizontal="center" vertical="center" readingOrder="2"/>
    </xf>
    <xf numFmtId="0" fontId="23" fillId="0" borderId="11" xfId="0" applyFont="1" applyBorder="1" applyAlignment="1">
      <alignment horizontal="center" vertical="center" readingOrder="2"/>
    </xf>
    <xf numFmtId="0" fontId="23" fillId="0" borderId="12" xfId="0" applyFont="1" applyBorder="1" applyAlignment="1">
      <alignment readingOrder="2"/>
    </xf>
    <xf numFmtId="0" fontId="23" fillId="0" borderId="13" xfId="0" applyFont="1" applyBorder="1" applyAlignment="1">
      <alignment horizontal="center" vertical="center" readingOrder="2"/>
    </xf>
    <xf numFmtId="165" fontId="23" fillId="0" borderId="11" xfId="0" applyNumberFormat="1" applyFont="1" applyBorder="1" applyAlignment="1">
      <alignment horizontal="center" vertical="center" readingOrder="2"/>
    </xf>
    <xf numFmtId="165" fontId="23" fillId="0" borderId="13" xfId="0" applyNumberFormat="1" applyFont="1" applyBorder="1" applyAlignment="1">
      <alignment readingOrder="2"/>
    </xf>
    <xf numFmtId="0" fontId="23" fillId="0" borderId="11" xfId="0" applyFont="1" applyBorder="1" applyAlignment="1">
      <alignment readingOrder="2"/>
    </xf>
    <xf numFmtId="0" fontId="23" fillId="0" borderId="12" xfId="0" applyFont="1" applyBorder="1" applyAlignment="1">
      <alignment horizontal="center" vertical="center" readingOrder="2"/>
    </xf>
    <xf numFmtId="0" fontId="23" fillId="0" borderId="14" xfId="0" applyFont="1" applyBorder="1" applyAlignment="1">
      <alignment horizontal="center" vertical="center" readingOrder="2"/>
    </xf>
    <xf numFmtId="165" fontId="32" fillId="0" borderId="11" xfId="0" applyNumberFormat="1" applyFont="1" applyBorder="1" applyAlignment="1">
      <alignment readingOrder="2"/>
    </xf>
    <xf numFmtId="165" fontId="32" fillId="0" borderId="13" xfId="0" applyNumberFormat="1" applyFont="1" applyBorder="1" applyAlignment="1">
      <alignment readingOrder="2"/>
    </xf>
    <xf numFmtId="9" fontId="23" fillId="0" borderId="14" xfId="1" applyFont="1" applyBorder="1" applyAlignment="1">
      <alignment readingOrder="2"/>
    </xf>
    <xf numFmtId="0" fontId="32" fillId="0" borderId="0" xfId="0" applyFont="1" applyAlignment="1">
      <alignment readingOrder="2"/>
    </xf>
  </cellXfs>
  <cellStyles count="2">
    <cellStyle name="Normal" xfId="0" builtinId="0"/>
    <cellStyle name="Percent" xfId="1" builtinId="5"/>
  </cellStyles>
  <dxfs count="65">
    <dxf>
      <font>
        <color rgb="FF6E7E96"/>
      </font>
      <numFmt numFmtId="169" formatCode="\◆"/>
    </dxf>
    <dxf>
      <fill>
        <patternFill patternType="solid">
          <fgColor indexed="64"/>
          <bgColor rgb="FFDEE3EB"/>
        </patternFill>
      </fill>
    </dxf>
    <dxf>
      <font>
        <color rgb="FF2C6E78"/>
      </font>
      <numFmt numFmtId="169" formatCode="\◆"/>
    </dxf>
    <dxf>
      <fill>
        <patternFill patternType="solid">
          <fgColor indexed="64"/>
          <bgColor rgb="FFB7D5D9"/>
        </patternFill>
      </fill>
    </dxf>
    <dxf>
      <fill>
        <patternFill patternType="solid">
          <fgColor indexed="64"/>
          <bgColor rgb="FF2C6E78"/>
        </patternFill>
      </fill>
    </dxf>
    <dxf>
      <font>
        <color rgb="FF44546A"/>
      </font>
      <numFmt numFmtId="169" formatCode="\◆"/>
    </dxf>
    <dxf>
      <fill>
        <patternFill patternType="solid">
          <fgColor indexed="64"/>
          <bgColor rgb="FF8497B0"/>
        </patternFill>
      </fill>
    </dxf>
    <dxf>
      <font>
        <color rgb="FF595F6B"/>
      </font>
      <numFmt numFmtId="169" formatCode="\◆"/>
    </dxf>
    <dxf>
      <fill>
        <patternFill patternType="solid">
          <fgColor indexed="64"/>
          <bgColor rgb="FFCDD1D7"/>
        </patternFill>
      </fill>
    </dxf>
    <dxf>
      <fill>
        <patternFill patternType="solid">
          <fgColor indexed="64"/>
          <bgColor rgb="FF44546A"/>
        </patternFill>
      </fill>
    </dxf>
    <dxf>
      <font>
        <color rgb="FF41719C"/>
      </font>
      <numFmt numFmtId="169" formatCode="\◆"/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5B9BD5"/>
        </patternFill>
      </fill>
    </dxf>
    <dxf>
      <font>
        <color rgb="FF2E75B6"/>
      </font>
      <numFmt numFmtId="169" formatCode="\◆"/>
    </dxf>
    <dxf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2E75B6"/>
        </patternFill>
      </fill>
    </dxf>
    <dxf>
      <font>
        <color rgb="FF1F4E79"/>
      </font>
      <numFmt numFmtId="169" formatCode="\◆"/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595F6B"/>
        </patternFill>
      </fill>
    </dxf>
    <dxf>
      <font>
        <color rgb="FF5A7894"/>
      </font>
      <numFmt numFmtId="169" formatCode="\◆"/>
    </dxf>
    <dxf>
      <fill>
        <patternFill patternType="solid">
          <fgColor indexed="64"/>
          <bgColor rgb="FFDCE4EE"/>
        </patternFill>
      </fill>
    </dxf>
    <dxf>
      <fill>
        <patternFill patternType="solid">
          <fgColor indexed="64"/>
          <bgColor rgb="FF1F4E79"/>
        </patternFill>
      </fill>
    </dxf>
    <dxf>
      <font>
        <color rgb="FFC00000"/>
      </font>
      <numFmt numFmtId="169" formatCode="\◆"/>
    </dxf>
    <dxf>
      <fill>
        <patternFill>
          <bgColor rgb="FFC00000"/>
        </patternFill>
      </fill>
    </dxf>
    <dxf>
      <fill>
        <patternFill patternType="solid">
          <fgColor indexed="64"/>
          <bgColor rgb="FFC9CFD8"/>
        </patternFill>
      </fill>
    </dxf>
    <dxf>
      <font>
        <color theme="0" tint="-0.499984740745262"/>
      </font>
      <numFmt numFmtId="169" formatCode="\◆"/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color theme="3" tint="-0.499984740745262"/>
      </font>
      <numFmt numFmtId="170" formatCode="\⚑"/>
    </dxf>
    <dxf>
      <font>
        <color theme="0" tint="-0.14996795556505021"/>
      </font>
    </dxf>
    <dxf>
      <font>
        <color auto="1"/>
      </font>
      <fill>
        <patternFill patternType="lightDown">
          <fgColor theme="0" tint="-0.499984740745262"/>
        </patternFill>
      </fill>
    </dxf>
    <dxf>
      <fill>
        <patternFill>
          <bgColor theme="3" tint="-0.499984740745262"/>
        </patternFill>
      </fill>
    </dxf>
    <dxf>
      <fill>
        <patternFill patternType="solid">
          <fgColor indexed="64"/>
          <bgColor rgb="FF7F9DB9"/>
        </patternFill>
      </fill>
    </dxf>
    <dxf>
      <border>
        <left/>
        <right style="thin">
          <color theme="0" tint="-0.14996795556505021"/>
        </right>
        <vertical/>
        <horizontal/>
      </border>
    </dxf>
    <dxf>
      <border>
        <left/>
        <right style="dotted">
          <color rgb="FF00B050"/>
        </right>
        <vertical/>
        <horizontal/>
      </border>
    </dxf>
    <dxf>
      <font>
        <color theme="0"/>
      </font>
      <fill>
        <patternFill>
          <bgColor rgb="FF009E47"/>
        </patternFill>
      </fill>
      <border>
        <vertical/>
        <horizontal/>
      </border>
    </dxf>
    <dxf>
      <fill>
        <patternFill>
          <bgColor rgb="FFE4E4E4"/>
        </patternFill>
      </fill>
    </dxf>
    <dxf>
      <fill>
        <patternFill>
          <bgColor theme="4" tint="-0.24994659260841701"/>
        </patternFill>
      </fill>
    </dxf>
    <dxf>
      <numFmt numFmtId="166" formatCode=";;;"/>
    </dxf>
    <dxf>
      <font>
        <color theme="0" tint="-0.24994659260841701"/>
      </font>
    </dxf>
    <dxf>
      <font>
        <color theme="9" tint="-0.24994659260841701"/>
      </font>
    </dxf>
    <dxf>
      <font>
        <color theme="0" tint="-0.24994659260841701"/>
      </font>
    </dxf>
    <dxf>
      <numFmt numFmtId="171" formatCode="\א\ו\ט\'"/>
    </dxf>
    <dxf>
      <font>
        <color rgb="FFC00000"/>
      </font>
    </dxf>
    <dxf>
      <fill>
        <patternFill>
          <bgColor theme="2"/>
        </patternFill>
      </fill>
    </dxf>
    <dxf>
      <fill>
        <patternFill>
          <bgColor theme="2" tint="-0.24994659260841701"/>
        </patternFill>
      </fill>
    </dxf>
    <dxf>
      <font>
        <color rgb="FF6E7E96"/>
      </font>
      <fill>
        <patternFill patternType="solid">
          <fgColor indexed="64"/>
          <bgColor rgb="FFDEE3EB"/>
        </patternFill>
      </fill>
    </dxf>
    <dxf>
      <fill>
        <patternFill patternType="solid">
          <fgColor indexed="64"/>
          <bgColor rgb="FF8497B0"/>
        </patternFill>
      </fill>
    </dxf>
    <dxf>
      <font>
        <color rgb="FF595F6B"/>
      </font>
      <fill>
        <patternFill patternType="solid">
          <fgColor indexed="64"/>
          <bgColor rgb="FFCDD1D7"/>
        </patternFill>
      </fill>
    </dxf>
    <dxf>
      <fill>
        <patternFill patternType="solid">
          <fgColor indexed="64"/>
          <bgColor rgb="FF595F6B"/>
        </patternFill>
      </fill>
    </dxf>
    <dxf>
      <font>
        <color rgb="FF5A7894"/>
      </font>
      <fill>
        <patternFill patternType="solid">
          <fgColor indexed="64"/>
          <bgColor rgb="FFDCE4EE"/>
        </patternFill>
      </fill>
    </dxf>
    <dxf>
      <font>
        <color rgb="FF2C6E78"/>
      </font>
      <fill>
        <patternFill patternType="solid">
          <fgColor indexed="64"/>
          <bgColor rgb="FFB7D5D9"/>
        </patternFill>
      </fill>
    </dxf>
    <dxf>
      <fill>
        <patternFill patternType="solid">
          <fgColor indexed="64"/>
          <bgColor rgb="FF2C6E78"/>
        </patternFill>
      </fill>
    </dxf>
    <dxf>
      <font>
        <color rgb="FF44546A"/>
      </font>
      <fill>
        <patternFill patternType="solid">
          <fgColor indexed="64"/>
          <bgColor rgb="FFC9CFD8"/>
        </patternFill>
      </fill>
    </dxf>
    <dxf>
      <fill>
        <patternFill patternType="solid">
          <fgColor indexed="64"/>
          <bgColor rgb="FF44546A"/>
        </patternFill>
      </fill>
    </dxf>
    <dxf>
      <font>
        <color rgb="FF41719C"/>
      </font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5B9BD5"/>
        </patternFill>
      </fill>
    </dxf>
    <dxf>
      <font>
        <color rgb="FF2E75B6"/>
      </font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7F9DB9"/>
        </patternFill>
      </fill>
    </dxf>
    <dxf>
      <fill>
        <patternFill patternType="solid">
          <fgColor indexed="64"/>
          <bgColor rgb="FF1F4E79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2E75B6"/>
        </patternFill>
      </fill>
    </dxf>
    <dxf>
      <fill>
        <patternFill>
          <bgColor rgb="FFC00000"/>
        </patternFill>
      </fill>
    </dxf>
    <dxf>
      <numFmt numFmtId="172" formatCode="\ \ \ @"/>
    </dxf>
    <dxf>
      <font>
        <b/>
        <i val="0"/>
      </font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colors>
    <mruColors>
      <color rgb="FF009E47"/>
      <color rgb="FFDAFEE3"/>
      <color rgb="FFC9E8FF"/>
      <color rgb="FF008FFA"/>
      <color rgb="FF0D4ED1"/>
      <color rgb="FFE4E4E4"/>
      <color rgb="FFC7D0DB"/>
      <color rgb="FFEEECFE"/>
      <color rgb="FFD1F7ED"/>
      <color rgb="FFDEE3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22" fmlaLink="$Z$8" max="30000" page="10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&#1492;&#1490;&#1491;&#1512;&#1493;&#1514;!G6"/><Relationship Id="rId2" Type="http://schemas.openxmlformats.org/officeDocument/2006/relationships/image" Target="../media/image1.png"/><Relationship Id="rId1" Type="http://schemas.openxmlformats.org/officeDocument/2006/relationships/hyperlink" Target="#'&#1496;&#1489;&#1500;&#1514; &#1490;&#1488;&#1504;&#1496;'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1492;&#1490;&#1491;&#1512;&#1493;&#1514;!G6"/><Relationship Id="rId2" Type="http://schemas.openxmlformats.org/officeDocument/2006/relationships/image" Target="../media/image1.png"/><Relationship Id="rId1" Type="http://schemas.openxmlformats.org/officeDocument/2006/relationships/hyperlink" Target="#'&#1496;&#1489;&#1500;&#1514; &#1490;&#1488;&#1504;&#1496;'!A1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10586</xdr:colOff>
      <xdr:row>9</xdr:row>
      <xdr:rowOff>90293</xdr:rowOff>
    </xdr:from>
    <xdr:to>
      <xdr:col>1</xdr:col>
      <xdr:colOff>1047750</xdr:colOff>
      <xdr:row>10</xdr:row>
      <xdr:rowOff>47625</xdr:rowOff>
    </xdr:to>
    <xdr:pic>
      <xdr:nvPicPr>
        <xdr:cNvPr id="17" name="Pictur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57739800" y="2081018"/>
          <a:ext cx="1037164" cy="366907"/>
        </a:xfrm>
        <a:prstGeom prst="rect">
          <a:avLst/>
        </a:prstGeom>
      </xdr:spPr>
    </xdr:pic>
    <xdr:clientData/>
  </xdr:twoCellAnchor>
  <xdr:twoCellAnchor editAs="absolute">
    <xdr:from>
      <xdr:col>1</xdr:col>
      <xdr:colOff>10586</xdr:colOff>
      <xdr:row>11</xdr:row>
      <xdr:rowOff>157089</xdr:rowOff>
    </xdr:from>
    <xdr:to>
      <xdr:col>1</xdr:col>
      <xdr:colOff>1045708</xdr:colOff>
      <xdr:row>13</xdr:row>
      <xdr:rowOff>142274</xdr:rowOff>
    </xdr:to>
    <xdr:pic>
      <xdr:nvPicPr>
        <xdr:cNvPr id="18" name="Pictur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57741842" y="2614539"/>
          <a:ext cx="1035122" cy="3661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54</xdr:col>
          <xdr:colOff>0</xdr:colOff>
          <xdr:row>2</xdr:row>
          <xdr:rowOff>31750</xdr:rowOff>
        </xdr:from>
        <xdr:to>
          <xdr:col>55</xdr:col>
          <xdr:colOff>95250</xdr:colOff>
          <xdr:row>4</xdr:row>
          <xdr:rowOff>88900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8</xdr:row>
      <xdr:rowOff>156968</xdr:rowOff>
    </xdr:from>
    <xdr:to>
      <xdr:col>1</xdr:col>
      <xdr:colOff>1056214</xdr:colOff>
      <xdr:row>10</xdr:row>
      <xdr:rowOff>142875</xdr:rowOff>
    </xdr:to>
    <xdr:pic>
      <xdr:nvPicPr>
        <xdr:cNvPr id="15" name="Pictur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6458736" y="2081018"/>
          <a:ext cx="1037164" cy="366907"/>
        </a:xfrm>
        <a:prstGeom prst="rect">
          <a:avLst/>
        </a:prstGeom>
      </xdr:spPr>
    </xdr:pic>
    <xdr:clientData/>
  </xdr:twoCellAnchor>
  <xdr:twoCellAnchor editAs="absolute">
    <xdr:from>
      <xdr:col>1</xdr:col>
      <xdr:colOff>19050</xdr:colOff>
      <xdr:row>11</xdr:row>
      <xdr:rowOff>118989</xdr:rowOff>
    </xdr:from>
    <xdr:to>
      <xdr:col>1</xdr:col>
      <xdr:colOff>1054172</xdr:colOff>
      <xdr:row>13</xdr:row>
      <xdr:rowOff>104174</xdr:rowOff>
    </xdr:to>
    <xdr:pic>
      <xdr:nvPicPr>
        <xdr:cNvPr id="16" name="Picture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86460778" y="2614539"/>
          <a:ext cx="1035122" cy="366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oy\Excel%20Road\Projects\YouTube\Budget%20Planing\&#1504;&#1497;&#1492;&#1493;&#1500;%20&#1514;&#1511;&#1510;&#1497;&#1489;%20&#1493;&#1489;&#1511;&#1512;&#1492;%20&#1513;&#1500;%20&#1502;&#1513;&#1511;%20&#1492;&#1489;&#1497;&#151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כנון תקציב"/>
      <sheetName val="מעקב תקציב"/>
      <sheetName val="לוח בקרה"/>
      <sheetName val="נתונים נשלפים"/>
      <sheetName val="חישובים"/>
      <sheetName val="הוראות"/>
      <sheetName val="הגדר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">
          <cell r="H14" t="str">
            <v>לא פעיל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אדום כתום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903EE6-AD91-4328-8A00-B533F7A84FF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3031699-1cb6-4d42-9415-0d03452c31e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EF21-1723-4CA8-8326-83C3A4F792D2}">
  <sheetPr codeName="Sheet1"/>
  <dimension ref="A1:BY36"/>
  <sheetViews>
    <sheetView showGridLines="0" rightToLeft="1" zoomScale="55" zoomScaleNormal="55" workbookViewId="0">
      <selection activeCell="E1" sqref="E1"/>
    </sheetView>
  </sheetViews>
  <sheetFormatPr defaultColWidth="9.1640625" defaultRowHeight="15" customHeight="1" outlineLevelCol="1" x14ac:dyDescent="0.3"/>
  <cols>
    <col min="1" max="1" width="2.75" style="35" customWidth="1"/>
    <col min="2" max="2" width="16.4140625" style="35" customWidth="1"/>
    <col min="3" max="3" width="2.75" style="35" customWidth="1"/>
    <col min="4" max="4" width="2.25" style="22" customWidth="1"/>
    <col min="5" max="5" width="5.25" style="22" customWidth="1"/>
    <col min="6" max="7" width="5.58203125" style="22" hidden="1" customWidth="1"/>
    <col min="8" max="8" width="4.4140625" style="22" customWidth="1"/>
    <col min="9" max="9" width="16.1640625" style="22" customWidth="1"/>
    <col min="10" max="10" width="1.4140625" style="22" customWidth="1"/>
    <col min="11" max="11" width="8.58203125" style="22" customWidth="1"/>
    <col min="12" max="12" width="11" style="22" customWidth="1"/>
    <col min="13" max="13" width="4.1640625" style="22" customWidth="1"/>
    <col min="14" max="14" width="9.25" style="22" customWidth="1" outlineLevel="1"/>
    <col min="15" max="15" width="9.75" style="22" customWidth="1" outlineLevel="1"/>
    <col min="16" max="16" width="6.1640625" style="22" customWidth="1" outlineLevel="1"/>
    <col min="17" max="17" width="3.1640625" style="22" customWidth="1" outlineLevel="1"/>
    <col min="18" max="18" width="13.75" style="22" customWidth="1" outlineLevel="1"/>
    <col min="19" max="19" width="6" style="22" customWidth="1" outlineLevel="1"/>
    <col min="20" max="20" width="6.25" style="22" customWidth="1" outlineLevel="1"/>
    <col min="21" max="21" width="5.75" style="22" customWidth="1"/>
    <col min="22" max="22" width="10.58203125" style="22" customWidth="1"/>
    <col min="23" max="23" width="10.83203125" style="22" customWidth="1"/>
    <col min="24" max="24" width="9.75" style="22" customWidth="1" outlineLevel="1"/>
    <col min="25" max="25" width="10.75" style="22" customWidth="1" outlineLevel="1"/>
    <col min="26" max="26" width="6.1640625" style="22" customWidth="1"/>
    <col min="27" max="77" width="3" style="22" customWidth="1"/>
    <col min="78" max="16384" width="9.1640625" style="22"/>
  </cols>
  <sheetData>
    <row r="1" spans="1:77" s="35" customFormat="1" ht="46" x14ac:dyDescent="0.35">
      <c r="A1" s="42"/>
      <c r="B1" s="42"/>
      <c r="C1" s="42"/>
      <c r="D1" s="43" t="str">
        <f>הגדרות!G6</f>
        <v>WedPlanner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5" t="s">
        <v>29</v>
      </c>
      <c r="AB1" s="45"/>
      <c r="AC1" s="45"/>
      <c r="AD1" s="45"/>
      <c r="AE1" s="45"/>
      <c r="AF1" s="46" cm="1">
        <f t="array" ref="AF1">project_start</f>
        <v>45981</v>
      </c>
      <c r="AG1" s="46"/>
      <c r="AH1" s="46"/>
      <c r="AI1" s="47" t="s">
        <v>28</v>
      </c>
      <c r="AJ1" s="48" cm="1">
        <f t="array" ref="AJ1">project_end</f>
        <v>46022</v>
      </c>
      <c r="AK1" s="48"/>
      <c r="AL1" s="48"/>
      <c r="AM1" s="49" t="str" cm="1">
        <f t="array" ref="AM1">"("&amp;project_duration&amp;")"</f>
        <v>(30)</v>
      </c>
      <c r="AN1" s="44"/>
      <c r="AO1" s="44"/>
      <c r="AP1" s="44"/>
      <c r="AQ1" s="45" t="s">
        <v>26</v>
      </c>
      <c r="AR1" s="45"/>
      <c r="AS1" s="45"/>
      <c r="AT1" s="45"/>
      <c r="AU1" s="45" t="str">
        <f>הגדרות!G8</f>
        <v>נתי וורקנך</v>
      </c>
      <c r="AV1" s="45"/>
      <c r="AW1" s="45"/>
      <c r="AX1" s="50"/>
      <c r="AY1" s="50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</row>
    <row r="2" spans="1:77" ht="15" customHeight="1" x14ac:dyDescent="0.35">
      <c r="A2" s="42"/>
      <c r="B2" s="42"/>
      <c r="C2" s="4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3"/>
      <c r="AO2" s="53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</row>
    <row r="3" spans="1:77" ht="15" customHeight="1" x14ac:dyDescent="0.35">
      <c r="A3" s="42"/>
      <c r="B3" s="42"/>
      <c r="C3" s="42"/>
      <c r="D3" s="52"/>
      <c r="E3" s="54"/>
      <c r="F3" s="52"/>
      <c r="G3" s="52"/>
      <c r="H3" s="52" t="s">
        <v>0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5" t="s">
        <v>43</v>
      </c>
      <c r="AB3" s="56"/>
      <c r="AC3" s="56"/>
      <c r="AD3" s="56"/>
      <c r="AE3" s="56"/>
      <c r="AF3" s="57"/>
      <c r="AG3" s="52"/>
      <c r="AH3" s="55" t="s">
        <v>46</v>
      </c>
      <c r="AI3" s="56"/>
      <c r="AJ3" s="56"/>
      <c r="AK3" s="56"/>
      <c r="AL3" s="56"/>
      <c r="AM3" s="57"/>
      <c r="AN3" s="52"/>
      <c r="AO3" s="55" t="s">
        <v>52</v>
      </c>
      <c r="AP3" s="56"/>
      <c r="AQ3" s="56"/>
      <c r="AR3" s="56"/>
      <c r="AS3" s="56"/>
      <c r="AT3" s="57"/>
      <c r="AU3" s="52"/>
      <c r="AV3" s="55" t="s">
        <v>53</v>
      </c>
      <c r="AW3" s="56"/>
      <c r="AX3" s="56"/>
      <c r="AY3" s="56"/>
      <c r="AZ3" s="56"/>
      <c r="BA3" s="57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</row>
    <row r="4" spans="1:77" ht="15" customHeight="1" x14ac:dyDescent="0.35">
      <c r="A4" s="42"/>
      <c r="B4" s="42"/>
      <c r="C4" s="42"/>
      <c r="D4" s="52"/>
      <c r="E4" s="58"/>
      <c r="F4" s="52"/>
      <c r="G4" s="52"/>
      <c r="H4" s="52" t="s">
        <v>1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9" t="s">
        <v>45</v>
      </c>
      <c r="AB4" s="60"/>
      <c r="AC4" s="60"/>
      <c r="AD4" s="60"/>
      <c r="AE4" s="60"/>
      <c r="AF4" s="61"/>
      <c r="AG4" s="52"/>
      <c r="AH4" s="59" t="s">
        <v>47</v>
      </c>
      <c r="AI4" s="60"/>
      <c r="AJ4" s="60"/>
      <c r="AK4" s="60"/>
      <c r="AL4" s="60"/>
      <c r="AM4" s="61"/>
      <c r="AN4" s="52"/>
      <c r="AO4" s="59" t="s">
        <v>57</v>
      </c>
      <c r="AP4" s="60"/>
      <c r="AQ4" s="60"/>
      <c r="AR4" s="60"/>
      <c r="AS4" s="60"/>
      <c r="AT4" s="61"/>
      <c r="AU4" s="52"/>
      <c r="AV4" s="62" t="s">
        <v>56</v>
      </c>
      <c r="AW4" s="63"/>
      <c r="AX4" s="64"/>
      <c r="AY4" s="64"/>
      <c r="AZ4" s="64"/>
      <c r="BA4" s="65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</row>
    <row r="5" spans="1:77" ht="15.75" customHeight="1" x14ac:dyDescent="0.35">
      <c r="A5" s="42"/>
      <c r="B5" s="42"/>
      <c r="C5" s="42"/>
      <c r="D5" s="52"/>
      <c r="E5" s="66"/>
      <c r="F5" s="52"/>
      <c r="G5" s="52"/>
      <c r="H5" s="52" t="s">
        <v>54</v>
      </c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</row>
    <row r="6" spans="1:77" ht="4.5" customHeight="1" x14ac:dyDescent="0.35">
      <c r="A6" s="42"/>
      <c r="B6" s="42"/>
      <c r="C6" s="4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</row>
    <row r="7" spans="1:77" ht="15" customHeight="1" x14ac:dyDescent="0.35">
      <c r="A7" s="42"/>
      <c r="B7" s="42"/>
      <c r="C7" s="42"/>
      <c r="D7" s="52"/>
      <c r="E7" s="52"/>
      <c r="F7" s="67"/>
      <c r="G7" s="52"/>
      <c r="H7" s="52"/>
      <c r="I7" s="52"/>
      <c r="J7" s="52"/>
      <c r="K7" s="52"/>
      <c r="L7" s="52"/>
      <c r="M7" s="52"/>
      <c r="N7" s="68" t="s">
        <v>4</v>
      </c>
      <c r="O7" s="68"/>
      <c r="P7" s="68"/>
      <c r="Q7" s="68"/>
      <c r="R7" s="68"/>
      <c r="S7" s="68"/>
      <c r="T7" s="68"/>
      <c r="U7" s="68"/>
      <c r="V7" s="68"/>
      <c r="W7" s="68"/>
      <c r="X7" s="69" t="s">
        <v>5</v>
      </c>
      <c r="Y7" s="69"/>
      <c r="Z7" s="70" t="s">
        <v>56</v>
      </c>
      <c r="AA7" s="71" cm="1">
        <f t="array" aca="1" ref="AA7" ca="1">WORKDAY.INTL(timeline_start,scroll_inc,weekend)</f>
        <v>45977</v>
      </c>
      <c r="AB7" s="71">
        <f t="shared" ref="AB7:BP7" ca="1" si="0">WORKDAY.INTL(AA7,1,weekend)</f>
        <v>45978</v>
      </c>
      <c r="AC7" s="71">
        <f t="shared" ca="1" si="0"/>
        <v>45979</v>
      </c>
      <c r="AD7" s="71">
        <f t="shared" ca="1" si="0"/>
        <v>45980</v>
      </c>
      <c r="AE7" s="71">
        <f t="shared" ca="1" si="0"/>
        <v>45981</v>
      </c>
      <c r="AF7" s="71">
        <f t="shared" ca="1" si="0"/>
        <v>45984</v>
      </c>
      <c r="AG7" s="71">
        <f t="shared" ca="1" si="0"/>
        <v>45985</v>
      </c>
      <c r="AH7" s="71">
        <f t="shared" ca="1" si="0"/>
        <v>45986</v>
      </c>
      <c r="AI7" s="71">
        <f t="shared" ca="1" si="0"/>
        <v>45987</v>
      </c>
      <c r="AJ7" s="71">
        <f t="shared" ca="1" si="0"/>
        <v>45988</v>
      </c>
      <c r="AK7" s="71">
        <f t="shared" ca="1" si="0"/>
        <v>45991</v>
      </c>
      <c r="AL7" s="71">
        <f t="shared" ca="1" si="0"/>
        <v>45992</v>
      </c>
      <c r="AM7" s="71">
        <f t="shared" ca="1" si="0"/>
        <v>45993</v>
      </c>
      <c r="AN7" s="71">
        <f t="shared" ca="1" si="0"/>
        <v>45994</v>
      </c>
      <c r="AO7" s="71">
        <f t="shared" ca="1" si="0"/>
        <v>45995</v>
      </c>
      <c r="AP7" s="71">
        <f t="shared" ca="1" si="0"/>
        <v>45998</v>
      </c>
      <c r="AQ7" s="71">
        <f t="shared" ca="1" si="0"/>
        <v>45999</v>
      </c>
      <c r="AR7" s="71">
        <f t="shared" ca="1" si="0"/>
        <v>46000</v>
      </c>
      <c r="AS7" s="71">
        <f t="shared" ca="1" si="0"/>
        <v>46001</v>
      </c>
      <c r="AT7" s="71">
        <f t="shared" ca="1" si="0"/>
        <v>46002</v>
      </c>
      <c r="AU7" s="71">
        <f t="shared" ca="1" si="0"/>
        <v>46005</v>
      </c>
      <c r="AV7" s="71">
        <f t="shared" ca="1" si="0"/>
        <v>46006</v>
      </c>
      <c r="AW7" s="71">
        <f t="shared" ca="1" si="0"/>
        <v>46007</v>
      </c>
      <c r="AX7" s="71">
        <f t="shared" ca="1" si="0"/>
        <v>46008</v>
      </c>
      <c r="AY7" s="71">
        <f t="shared" ca="1" si="0"/>
        <v>46009</v>
      </c>
      <c r="AZ7" s="71">
        <f t="shared" ca="1" si="0"/>
        <v>46012</v>
      </c>
      <c r="BA7" s="71">
        <f t="shared" ca="1" si="0"/>
        <v>46013</v>
      </c>
      <c r="BB7" s="71">
        <f t="shared" ca="1" si="0"/>
        <v>46014</v>
      </c>
      <c r="BC7" s="71">
        <f t="shared" ca="1" si="0"/>
        <v>46015</v>
      </c>
      <c r="BD7" s="71">
        <f t="shared" ca="1" si="0"/>
        <v>46016</v>
      </c>
      <c r="BE7" s="71">
        <f t="shared" ca="1" si="0"/>
        <v>46019</v>
      </c>
      <c r="BF7" s="71">
        <f t="shared" ca="1" si="0"/>
        <v>46020</v>
      </c>
      <c r="BG7" s="71">
        <f t="shared" ca="1" si="0"/>
        <v>46021</v>
      </c>
      <c r="BH7" s="71">
        <f t="shared" ca="1" si="0"/>
        <v>46022</v>
      </c>
      <c r="BI7" s="71">
        <f t="shared" ca="1" si="0"/>
        <v>46023</v>
      </c>
      <c r="BJ7" s="71">
        <f t="shared" ca="1" si="0"/>
        <v>46026</v>
      </c>
      <c r="BK7" s="71">
        <f t="shared" ca="1" si="0"/>
        <v>46027</v>
      </c>
      <c r="BL7" s="71">
        <f t="shared" ca="1" si="0"/>
        <v>46028</v>
      </c>
      <c r="BM7" s="71">
        <f t="shared" ca="1" si="0"/>
        <v>46029</v>
      </c>
      <c r="BN7" s="71">
        <f t="shared" ca="1" si="0"/>
        <v>46030</v>
      </c>
      <c r="BO7" s="71">
        <f t="shared" ca="1" si="0"/>
        <v>46033</v>
      </c>
      <c r="BP7" s="71">
        <f t="shared" ca="1" si="0"/>
        <v>46034</v>
      </c>
      <c r="BQ7" s="71">
        <f t="shared" ref="BQ7:BY7" ca="1" si="1">WORKDAY.INTL(BP7,1,weekend)</f>
        <v>46035</v>
      </c>
      <c r="BR7" s="71">
        <f t="shared" ca="1" si="1"/>
        <v>46036</v>
      </c>
      <c r="BS7" s="71">
        <f t="shared" ca="1" si="1"/>
        <v>46037</v>
      </c>
      <c r="BT7" s="71">
        <f t="shared" ca="1" si="1"/>
        <v>46040</v>
      </c>
      <c r="BU7" s="71">
        <f t="shared" ca="1" si="1"/>
        <v>46041</v>
      </c>
      <c r="BV7" s="71">
        <f t="shared" ca="1" si="1"/>
        <v>46042</v>
      </c>
      <c r="BW7" s="71">
        <f t="shared" ca="1" si="1"/>
        <v>46043</v>
      </c>
      <c r="BX7" s="71">
        <f t="shared" ca="1" si="1"/>
        <v>46044</v>
      </c>
      <c r="BY7" s="71">
        <f t="shared" ca="1" si="1"/>
        <v>46047</v>
      </c>
    </row>
    <row r="8" spans="1:77" ht="15" customHeight="1" x14ac:dyDescent="0.35">
      <c r="A8" s="42"/>
      <c r="B8" s="42"/>
      <c r="C8" s="42"/>
      <c r="D8" s="52"/>
      <c r="E8" s="52"/>
      <c r="F8" s="52"/>
      <c r="G8" s="52"/>
      <c r="H8" s="52"/>
      <c r="I8" s="52"/>
      <c r="J8" s="52"/>
      <c r="K8" s="52"/>
      <c r="L8" s="52"/>
      <c r="M8" s="52"/>
      <c r="N8" s="72" t="s">
        <v>6</v>
      </c>
      <c r="O8" s="72"/>
      <c r="P8" s="72"/>
      <c r="Q8" s="72"/>
      <c r="R8" s="72"/>
      <c r="S8" s="72"/>
      <c r="T8" s="72"/>
      <c r="U8" s="72"/>
      <c r="V8" s="72"/>
      <c r="W8" s="72"/>
      <c r="X8" s="72" t="s">
        <v>7</v>
      </c>
      <c r="Y8" s="72"/>
      <c r="Z8" s="73">
        <v>0</v>
      </c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</row>
    <row r="9" spans="1:77" ht="15" customHeight="1" x14ac:dyDescent="0.35">
      <c r="A9" s="42"/>
      <c r="B9" s="42"/>
      <c r="C9" s="42"/>
      <c r="D9" s="52"/>
      <c r="E9" s="74" t="s">
        <v>2</v>
      </c>
      <c r="F9" s="74"/>
      <c r="G9" s="74"/>
      <c r="H9" s="74" t="s">
        <v>3</v>
      </c>
      <c r="I9" s="74"/>
      <c r="J9" s="74"/>
      <c r="K9" s="74"/>
      <c r="L9" s="74"/>
      <c r="M9" s="74"/>
      <c r="N9" s="75">
        <v>45983</v>
      </c>
      <c r="O9" s="76"/>
      <c r="P9" s="76"/>
      <c r="Q9" s="76"/>
      <c r="R9" s="76"/>
      <c r="S9" s="76"/>
      <c r="T9" s="76"/>
      <c r="U9" s="76"/>
      <c r="V9" s="76"/>
      <c r="W9" s="76"/>
      <c r="X9" s="75">
        <v>45980</v>
      </c>
      <c r="Y9" s="76"/>
      <c r="Z9" s="77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</row>
    <row r="10" spans="1:77" s="23" customFormat="1" ht="32.25" customHeight="1" x14ac:dyDescent="0.35">
      <c r="A10" s="78"/>
      <c r="B10" s="78"/>
      <c r="C10" s="78"/>
      <c r="D10" s="79"/>
      <c r="E10" s="80" t="s">
        <v>8</v>
      </c>
      <c r="F10" s="81" t="s">
        <v>9</v>
      </c>
      <c r="G10" s="82" t="s">
        <v>44</v>
      </c>
      <c r="H10" s="83" t="s">
        <v>10</v>
      </c>
      <c r="I10" s="84" t="s">
        <v>11</v>
      </c>
      <c r="J10" s="85"/>
      <c r="K10" s="86" t="s">
        <v>12</v>
      </c>
      <c r="L10" s="84" t="s">
        <v>13</v>
      </c>
      <c r="M10" s="87" t="s">
        <v>14</v>
      </c>
      <c r="N10" s="88" t="s">
        <v>18</v>
      </c>
      <c r="O10" s="89" t="s">
        <v>19</v>
      </c>
      <c r="P10" s="88" t="s">
        <v>20</v>
      </c>
      <c r="Q10" s="90" t="s">
        <v>21</v>
      </c>
      <c r="R10" s="90"/>
      <c r="S10" s="91" t="s">
        <v>22</v>
      </c>
      <c r="T10" s="89" t="s">
        <v>23</v>
      </c>
      <c r="U10" s="92" t="s">
        <v>17</v>
      </c>
      <c r="V10" s="93" t="s">
        <v>16</v>
      </c>
      <c r="W10" s="94" t="s">
        <v>15</v>
      </c>
      <c r="X10" s="95" t="s">
        <v>16</v>
      </c>
      <c r="Y10" s="96" t="s">
        <v>15</v>
      </c>
      <c r="Z10" s="97" t="s">
        <v>24</v>
      </c>
      <c r="AA10" s="98" t="str">
        <f ca="1">IF(TEXT(AA7,"[$-he-il]ddd")="שבת",REPLACE(TEXT(AA7,"[$-he-il]ddd"),2,2,""),REPLACE(TEXT(AA7,"[$-he-il]ddd"),1,4,""))</f>
        <v>א</v>
      </c>
      <c r="AB10" s="98" t="str">
        <f t="shared" ref="AB10:BP10" ca="1" si="2">IF(TEXT(AB7,"[$-he-il]ddd")="שבת",REPLACE(TEXT(AB7,"[$-he-il]ddd"),2,2,""),REPLACE(TEXT(AB7,"[$-he-il]ddd"),1,4,""))</f>
        <v>ב</v>
      </c>
      <c r="AC10" s="98" t="str">
        <f t="shared" ca="1" si="2"/>
        <v>ג</v>
      </c>
      <c r="AD10" s="98" t="str">
        <f t="shared" ca="1" si="2"/>
        <v>ד</v>
      </c>
      <c r="AE10" s="98" t="str">
        <f t="shared" ca="1" si="2"/>
        <v>ה</v>
      </c>
      <c r="AF10" s="98" t="str">
        <f t="shared" ca="1" si="2"/>
        <v>א</v>
      </c>
      <c r="AG10" s="98" t="str">
        <f t="shared" ca="1" si="2"/>
        <v>ב</v>
      </c>
      <c r="AH10" s="98" t="str">
        <f t="shared" ca="1" si="2"/>
        <v>ג</v>
      </c>
      <c r="AI10" s="98" t="str">
        <f t="shared" ca="1" si="2"/>
        <v>ד</v>
      </c>
      <c r="AJ10" s="98" t="str">
        <f t="shared" ca="1" si="2"/>
        <v>ה</v>
      </c>
      <c r="AK10" s="98" t="str">
        <f t="shared" ca="1" si="2"/>
        <v>א</v>
      </c>
      <c r="AL10" s="98" t="str">
        <f t="shared" ca="1" si="2"/>
        <v>ב</v>
      </c>
      <c r="AM10" s="98" t="str">
        <f t="shared" ca="1" si="2"/>
        <v>ג</v>
      </c>
      <c r="AN10" s="98" t="str">
        <f t="shared" ca="1" si="2"/>
        <v>ד</v>
      </c>
      <c r="AO10" s="98" t="str">
        <f t="shared" ca="1" si="2"/>
        <v>ה</v>
      </c>
      <c r="AP10" s="98" t="str">
        <f t="shared" ca="1" si="2"/>
        <v>א</v>
      </c>
      <c r="AQ10" s="98" t="str">
        <f t="shared" ca="1" si="2"/>
        <v>ב</v>
      </c>
      <c r="AR10" s="98" t="str">
        <f t="shared" ca="1" si="2"/>
        <v>ג</v>
      </c>
      <c r="AS10" s="98" t="str">
        <f t="shared" ca="1" si="2"/>
        <v>ד</v>
      </c>
      <c r="AT10" s="98" t="str">
        <f t="shared" ca="1" si="2"/>
        <v>ה</v>
      </c>
      <c r="AU10" s="98" t="str">
        <f t="shared" ca="1" si="2"/>
        <v>א</v>
      </c>
      <c r="AV10" s="98" t="str">
        <f t="shared" ca="1" si="2"/>
        <v>ב</v>
      </c>
      <c r="AW10" s="98" t="str">
        <f t="shared" ca="1" si="2"/>
        <v>ג</v>
      </c>
      <c r="AX10" s="98" t="str">
        <f t="shared" ca="1" si="2"/>
        <v>ד</v>
      </c>
      <c r="AY10" s="98" t="str">
        <f t="shared" ca="1" si="2"/>
        <v>ה</v>
      </c>
      <c r="AZ10" s="98" t="str">
        <f t="shared" ca="1" si="2"/>
        <v>א</v>
      </c>
      <c r="BA10" s="98" t="str">
        <f t="shared" ca="1" si="2"/>
        <v>ב</v>
      </c>
      <c r="BB10" s="98" t="str">
        <f t="shared" ca="1" si="2"/>
        <v>ג</v>
      </c>
      <c r="BC10" s="98" t="str">
        <f t="shared" ca="1" si="2"/>
        <v>ד</v>
      </c>
      <c r="BD10" s="98" t="str">
        <f t="shared" ca="1" si="2"/>
        <v>ה</v>
      </c>
      <c r="BE10" s="98" t="str">
        <f t="shared" ca="1" si="2"/>
        <v>א</v>
      </c>
      <c r="BF10" s="98" t="str">
        <f t="shared" ca="1" si="2"/>
        <v>ב</v>
      </c>
      <c r="BG10" s="98" t="str">
        <f t="shared" ca="1" si="2"/>
        <v>ג</v>
      </c>
      <c r="BH10" s="98" t="str">
        <f t="shared" ca="1" si="2"/>
        <v>ד</v>
      </c>
      <c r="BI10" s="98" t="str">
        <f t="shared" ca="1" si="2"/>
        <v>ה</v>
      </c>
      <c r="BJ10" s="98" t="str">
        <f t="shared" ca="1" si="2"/>
        <v>א</v>
      </c>
      <c r="BK10" s="98" t="str">
        <f t="shared" ca="1" si="2"/>
        <v>ב</v>
      </c>
      <c r="BL10" s="98" t="str">
        <f t="shared" ca="1" si="2"/>
        <v>ג</v>
      </c>
      <c r="BM10" s="98" t="str">
        <f t="shared" ca="1" si="2"/>
        <v>ד</v>
      </c>
      <c r="BN10" s="98" t="str">
        <f t="shared" ca="1" si="2"/>
        <v>ה</v>
      </c>
      <c r="BO10" s="98" t="str">
        <f t="shared" ca="1" si="2"/>
        <v>א</v>
      </c>
      <c r="BP10" s="98" t="str">
        <f t="shared" ca="1" si="2"/>
        <v>ב</v>
      </c>
      <c r="BQ10" s="98" t="str">
        <f t="shared" ref="BQ10:BY10" ca="1" si="3">IF(TEXT(BQ7,"[$-he-il]ddd")="שבת",REPLACE(TEXT(BQ7,"[$-he-il]ddd"),2,2,""),REPLACE(TEXT(BQ7,"[$-he-il]ddd"),1,4,""))</f>
        <v>ג</v>
      </c>
      <c r="BR10" s="98" t="str">
        <f t="shared" ca="1" si="3"/>
        <v>ד</v>
      </c>
      <c r="BS10" s="98" t="str">
        <f t="shared" ca="1" si="3"/>
        <v>ה</v>
      </c>
      <c r="BT10" s="98" t="str">
        <f t="shared" ca="1" si="3"/>
        <v>א</v>
      </c>
      <c r="BU10" s="98" t="str">
        <f t="shared" ca="1" si="3"/>
        <v>ב</v>
      </c>
      <c r="BV10" s="98" t="str">
        <f t="shared" ca="1" si="3"/>
        <v>ג</v>
      </c>
      <c r="BW10" s="98" t="str">
        <f t="shared" ca="1" si="3"/>
        <v>ד</v>
      </c>
      <c r="BX10" s="98" t="str">
        <f t="shared" ca="1" si="3"/>
        <v>ה</v>
      </c>
      <c r="BY10" s="98" t="str">
        <f t="shared" ca="1" si="3"/>
        <v>א</v>
      </c>
    </row>
    <row r="11" spans="1:77" ht="4.5" customHeight="1" x14ac:dyDescent="0.35">
      <c r="A11" s="42"/>
      <c r="B11" s="42"/>
      <c r="C11" s="42"/>
      <c r="D11" s="52"/>
      <c r="E11" s="99"/>
      <c r="F11" s="100"/>
      <c r="G11" s="101"/>
      <c r="H11" s="99"/>
      <c r="I11" s="100"/>
      <c r="J11" s="102"/>
      <c r="K11" s="100"/>
      <c r="L11" s="100"/>
      <c r="M11" s="101"/>
      <c r="N11" s="99"/>
      <c r="O11" s="101"/>
      <c r="P11" s="99"/>
      <c r="Q11" s="100"/>
      <c r="R11" s="100"/>
      <c r="S11" s="100"/>
      <c r="T11" s="101"/>
      <c r="U11" s="103"/>
      <c r="V11" s="99"/>
      <c r="W11" s="101"/>
      <c r="X11" s="99"/>
      <c r="Y11" s="101"/>
      <c r="Z11" s="103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</row>
    <row r="12" spans="1:77" s="24" customFormat="1" ht="15" customHeight="1" x14ac:dyDescent="0.3">
      <c r="A12" s="104"/>
      <c r="B12" s="104"/>
      <c r="C12" s="104"/>
      <c r="D12" s="105"/>
      <c r="E12" s="106">
        <f t="shared" ref="E12:E35" si="4">IF(ROW(id)=ROW($E$10)+2,1,MAX(prev_col_range)+1)</f>
        <v>1</v>
      </c>
      <c r="F12" s="107">
        <f>IF(Type&lt;&gt;"",IF(ROW(stage_id)=ROW($F$10)+2,1,IF(Type="S",MAX(prev_col_range)+1,MAX(prev_col_range))),-1)</f>
        <v>1</v>
      </c>
      <c r="G12" s="108">
        <f>_xlfn.IFNA(IF(OR(Type="T",Type="M"),MATCH(K12,הגדרות!$L$7:$L$14,0),-1),-1)</f>
        <v>-1</v>
      </c>
      <c r="H12" s="109" t="s">
        <v>71</v>
      </c>
      <c r="I12" s="110" t="s">
        <v>79</v>
      </c>
      <c r="J12" s="105"/>
      <c r="K12" s="111" t="str">
        <f>_xlfn.IFNA(INDEX(הגדרות!$S$7:$S$40,MATCH(TeamMemeber,הגדרות!$Q$7:$Q$40,0)),"")</f>
        <v/>
      </c>
      <c r="L12" s="110"/>
      <c r="M12" s="112"/>
      <c r="N12" s="113">
        <f>MIN(V13:V16)</f>
        <v>45981</v>
      </c>
      <c r="O12" s="114"/>
      <c r="P12" s="115"/>
      <c r="Q12" s="116" t="str">
        <f t="shared" ref="Q12:Q35" si="5">IF(d.id&lt;&gt;"",IF(d.id&lt;id,"↖",IF(d.id&gt;id,"↙","")),"")</f>
        <v/>
      </c>
      <c r="R12" s="117" t="str" cm="1">
        <f t="array" ref="R12">IFERROR("("&amp;d.type&amp;") "&amp;IF(LEN(d.name)&gt;7,LEFT(d.name,7)&amp;"…",d.name),"")</f>
        <v/>
      </c>
      <c r="S12" s="118"/>
      <c r="T12" s="112"/>
      <c r="U12" s="119">
        <f>NETWORKDAYS.INTL(V12,MAX(W13:W16),weekend)</f>
        <v>11</v>
      </c>
      <c r="V12" s="120" cm="1">
        <f t="array" ref="V12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45981</v>
      </c>
      <c r="W12" s="114" cm="1">
        <f t="array" ref="W12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45995</v>
      </c>
      <c r="X12" s="121">
        <v>45981</v>
      </c>
      <c r="Y12" s="122">
        <v>45995</v>
      </c>
      <c r="Z12" s="123" cm="1">
        <f t="array" ref="Z12">SUM(Z13:Z16*U13:U16)/SUM(U13:U16)</f>
        <v>0</v>
      </c>
      <c r="AA12" s="124">
        <v>0</v>
      </c>
      <c r="AB12" s="124">
        <v>0</v>
      </c>
      <c r="AC12" s="124">
        <v>0</v>
      </c>
      <c r="AD12" s="124">
        <v>0</v>
      </c>
      <c r="AE12" s="124">
        <v>0</v>
      </c>
      <c r="AF12" s="124">
        <v>0</v>
      </c>
      <c r="AG12" s="124">
        <v>0</v>
      </c>
      <c r="AH12" s="124">
        <v>0</v>
      </c>
      <c r="AI12" s="124">
        <v>0</v>
      </c>
      <c r="AJ12" s="124">
        <v>0</v>
      </c>
      <c r="AK12" s="124">
        <v>0</v>
      </c>
      <c r="AL12" s="124">
        <v>0</v>
      </c>
      <c r="AM12" s="124">
        <v>0</v>
      </c>
      <c r="AN12" s="124">
        <v>0</v>
      </c>
      <c r="AO12" s="124">
        <v>0</v>
      </c>
      <c r="AP12" s="124">
        <v>0</v>
      </c>
      <c r="AQ12" s="124">
        <v>0</v>
      </c>
      <c r="AR12" s="124">
        <v>0</v>
      </c>
      <c r="AS12" s="124">
        <v>0</v>
      </c>
      <c r="AT12" s="124">
        <v>0</v>
      </c>
      <c r="AU12" s="124">
        <v>0</v>
      </c>
      <c r="AV12" s="124">
        <v>0</v>
      </c>
      <c r="AW12" s="124">
        <v>0</v>
      </c>
      <c r="AX12" s="124">
        <v>0</v>
      </c>
      <c r="AY12" s="124">
        <v>0</v>
      </c>
      <c r="AZ12" s="124">
        <v>0</v>
      </c>
      <c r="BA12" s="124">
        <v>0</v>
      </c>
      <c r="BB12" s="124">
        <v>0</v>
      </c>
      <c r="BC12" s="124">
        <v>0</v>
      </c>
      <c r="BD12" s="124">
        <v>0</v>
      </c>
      <c r="BE12" s="124">
        <v>0</v>
      </c>
      <c r="BF12" s="124">
        <v>0</v>
      </c>
      <c r="BG12" s="124">
        <v>0</v>
      </c>
      <c r="BH12" s="124">
        <v>0</v>
      </c>
      <c r="BI12" s="124">
        <v>0</v>
      </c>
      <c r="BJ12" s="124">
        <v>0</v>
      </c>
      <c r="BK12" s="124">
        <v>0</v>
      </c>
      <c r="BL12" s="124">
        <v>0</v>
      </c>
      <c r="BM12" s="124">
        <v>0</v>
      </c>
      <c r="BN12" s="124">
        <v>0</v>
      </c>
      <c r="BO12" s="124">
        <v>0</v>
      </c>
      <c r="BP12" s="124">
        <v>0</v>
      </c>
      <c r="BQ12" s="124">
        <v>0</v>
      </c>
      <c r="BR12" s="124">
        <v>0</v>
      </c>
      <c r="BS12" s="124">
        <v>0</v>
      </c>
      <c r="BT12" s="124">
        <v>0</v>
      </c>
      <c r="BU12" s="124">
        <v>0</v>
      </c>
      <c r="BV12" s="124">
        <v>0</v>
      </c>
      <c r="BW12" s="124">
        <v>0</v>
      </c>
      <c r="BX12" s="124">
        <v>0</v>
      </c>
      <c r="BY12" s="124">
        <v>0</v>
      </c>
    </row>
    <row r="13" spans="1:77" s="24" customFormat="1" ht="15" customHeight="1" x14ac:dyDescent="0.3">
      <c r="A13" s="104"/>
      <c r="B13" s="104"/>
      <c r="C13" s="104"/>
      <c r="D13" s="105"/>
      <c r="E13" s="106">
        <f t="shared" si="4"/>
        <v>2</v>
      </c>
      <c r="F13" s="107">
        <f>IF(Type&lt;&gt;"",IF(ROW(stage_id)=ROW($F$10)+2,1,IF(Type="S",MAX(prev_col_range)+1,MAX(prev_col_range))),-1)</f>
        <v>1</v>
      </c>
      <c r="G13" s="108">
        <f>_xlfn.IFNA(IF(OR(Type="T",Type="M"),MATCH(K13,הגדרות!$L$7:$L$14,0),-1),-1)</f>
        <v>1</v>
      </c>
      <c r="H13" s="109" t="s">
        <v>72</v>
      </c>
      <c r="I13" s="110" t="s">
        <v>80</v>
      </c>
      <c r="J13" s="105"/>
      <c r="K13" s="111" t="str">
        <f>_xlfn.IFNA(INDEX(הגדרות!$S$7:$S$40,MATCH(TeamMemeber,הגדרות!$Q$7:$Q$40,0)),"")</f>
        <v>PM</v>
      </c>
      <c r="L13" s="110" t="s">
        <v>58</v>
      </c>
      <c r="M13" s="112" t="s">
        <v>14</v>
      </c>
      <c r="N13" s="113">
        <v>45981</v>
      </c>
      <c r="O13" s="114"/>
      <c r="P13" s="115"/>
      <c r="Q13" s="116" t="str">
        <f t="shared" si="5"/>
        <v/>
      </c>
      <c r="R13" s="117" t="str" cm="1">
        <f t="array" ref="R13">IFERROR("("&amp;d.type&amp;") "&amp;IF(LEN(d.name)&gt;7,LEFT(d.name,7)&amp;"…",d.name),"")</f>
        <v/>
      </c>
      <c r="S13" s="118" t="s">
        <v>75</v>
      </c>
      <c r="T13" s="112"/>
      <c r="U13" s="119">
        <v>5</v>
      </c>
      <c r="V13" s="120" cm="1">
        <f t="array" ref="V13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45981</v>
      </c>
      <c r="W13" s="114" cm="1">
        <f t="array" ref="W13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45987</v>
      </c>
      <c r="X13" s="121">
        <v>45981</v>
      </c>
      <c r="Y13" s="122">
        <v>45987</v>
      </c>
      <c r="Z13" s="123"/>
      <c r="AA13" s="124">
        <v>0</v>
      </c>
      <c r="AB13" s="124">
        <v>0</v>
      </c>
      <c r="AC13" s="124">
        <v>0</v>
      </c>
      <c r="AD13" s="124">
        <v>0</v>
      </c>
      <c r="AE13" s="124">
        <v>0</v>
      </c>
      <c r="AF13" s="124">
        <v>0</v>
      </c>
      <c r="AG13" s="124">
        <v>0</v>
      </c>
      <c r="AH13" s="124">
        <v>0</v>
      </c>
      <c r="AI13" s="124">
        <v>0</v>
      </c>
      <c r="AJ13" s="124">
        <v>0</v>
      </c>
      <c r="AK13" s="124">
        <v>0</v>
      </c>
      <c r="AL13" s="124">
        <v>0</v>
      </c>
      <c r="AM13" s="124">
        <v>0</v>
      </c>
      <c r="AN13" s="124">
        <v>0</v>
      </c>
      <c r="AO13" s="124">
        <v>0</v>
      </c>
      <c r="AP13" s="124">
        <v>0</v>
      </c>
      <c r="AQ13" s="124">
        <v>0</v>
      </c>
      <c r="AR13" s="124">
        <v>0</v>
      </c>
      <c r="AS13" s="124">
        <v>0</v>
      </c>
      <c r="AT13" s="124">
        <v>0</v>
      </c>
      <c r="AU13" s="124">
        <v>0</v>
      </c>
      <c r="AV13" s="124">
        <v>0</v>
      </c>
      <c r="AW13" s="124">
        <v>0</v>
      </c>
      <c r="AX13" s="124">
        <v>0</v>
      </c>
      <c r="AY13" s="124">
        <v>0</v>
      </c>
      <c r="AZ13" s="124">
        <v>0</v>
      </c>
      <c r="BA13" s="124">
        <v>0</v>
      </c>
      <c r="BB13" s="124">
        <v>0</v>
      </c>
      <c r="BC13" s="124">
        <v>0</v>
      </c>
      <c r="BD13" s="124">
        <v>0</v>
      </c>
      <c r="BE13" s="124">
        <v>0</v>
      </c>
      <c r="BF13" s="124">
        <v>0</v>
      </c>
      <c r="BG13" s="124">
        <v>0</v>
      </c>
      <c r="BH13" s="124">
        <v>0</v>
      </c>
      <c r="BI13" s="124">
        <v>0</v>
      </c>
      <c r="BJ13" s="124">
        <v>0</v>
      </c>
      <c r="BK13" s="124">
        <v>0</v>
      </c>
      <c r="BL13" s="124">
        <v>0</v>
      </c>
      <c r="BM13" s="124">
        <v>0</v>
      </c>
      <c r="BN13" s="124">
        <v>0</v>
      </c>
      <c r="BO13" s="124">
        <v>0</v>
      </c>
      <c r="BP13" s="124">
        <v>0</v>
      </c>
      <c r="BQ13" s="124">
        <v>0</v>
      </c>
      <c r="BR13" s="124">
        <v>0</v>
      </c>
      <c r="BS13" s="124">
        <v>0</v>
      </c>
      <c r="BT13" s="124">
        <v>0</v>
      </c>
      <c r="BU13" s="124">
        <v>0</v>
      </c>
      <c r="BV13" s="124">
        <v>0</v>
      </c>
      <c r="BW13" s="124">
        <v>0</v>
      </c>
      <c r="BX13" s="124">
        <v>0</v>
      </c>
      <c r="BY13" s="124">
        <v>0</v>
      </c>
    </row>
    <row r="14" spans="1:77" s="24" customFormat="1" ht="15" customHeight="1" x14ac:dyDescent="0.3">
      <c r="A14" s="104"/>
      <c r="B14" s="104"/>
      <c r="C14" s="104"/>
      <c r="D14" s="105"/>
      <c r="E14" s="106">
        <f t="shared" si="4"/>
        <v>3</v>
      </c>
      <c r="F14" s="107">
        <f>IF(Type&lt;&gt;"",IF(ROW(stage_id)=ROW($F$10)+2,1,IF(Type="S",MAX(prev_col_range)+1,MAX(prev_col_range))),-1)</f>
        <v>1</v>
      </c>
      <c r="G14" s="108">
        <f>_xlfn.IFNA(IF(OR(Type="T",Type="M"),MATCH(K14,הגדרות!$L$7:$L$14,0),-1),-1)</f>
        <v>2</v>
      </c>
      <c r="H14" s="109" t="s">
        <v>72</v>
      </c>
      <c r="I14" s="110" t="s">
        <v>81</v>
      </c>
      <c r="J14" s="105"/>
      <c r="K14" s="111" t="str">
        <f>_xlfn.IFNA(INDEX(הגדרות!$S$7:$S$40,MATCH(TeamMemeber,הגדרות!$Q$7:$Q$40,0)),"")</f>
        <v>SM</v>
      </c>
      <c r="L14" s="110" t="s">
        <v>60</v>
      </c>
      <c r="M14" s="112"/>
      <c r="N14" s="113"/>
      <c r="O14" s="114"/>
      <c r="P14" s="115">
        <f>E13</f>
        <v>2</v>
      </c>
      <c r="Q14" s="116" t="str">
        <f t="shared" si="5"/>
        <v>↖</v>
      </c>
      <c r="R14" s="117" t="str" cm="1">
        <f t="array" ref="R14">IFERROR("("&amp;d.type&amp;") "&amp;IF(LEN(d.name)&gt;7,LEFT(d.name,7)&amp;"…",d.name),"")</f>
        <v>(T) הגדרת י…</v>
      </c>
      <c r="S14" s="118" t="s">
        <v>75</v>
      </c>
      <c r="T14" s="112"/>
      <c r="U14" s="119">
        <v>4</v>
      </c>
      <c r="V14" s="120" cm="1">
        <f t="array" ref="V14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45988</v>
      </c>
      <c r="W14" s="114" cm="1">
        <f t="array" ref="W14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45993</v>
      </c>
      <c r="X14" s="121">
        <v>45988</v>
      </c>
      <c r="Y14" s="122">
        <v>45993</v>
      </c>
      <c r="Z14" s="123"/>
      <c r="AA14" s="124">
        <v>0</v>
      </c>
      <c r="AB14" s="124">
        <v>0</v>
      </c>
      <c r="AC14" s="124">
        <v>0</v>
      </c>
      <c r="AD14" s="124">
        <v>0</v>
      </c>
      <c r="AE14" s="124">
        <v>0</v>
      </c>
      <c r="AF14" s="124">
        <v>0</v>
      </c>
      <c r="AG14" s="124">
        <v>0</v>
      </c>
      <c r="AH14" s="124">
        <v>0</v>
      </c>
      <c r="AI14" s="124">
        <v>0</v>
      </c>
      <c r="AJ14" s="124">
        <v>0</v>
      </c>
      <c r="AK14" s="124">
        <v>0</v>
      </c>
      <c r="AL14" s="124">
        <v>0</v>
      </c>
      <c r="AM14" s="124">
        <v>0</v>
      </c>
      <c r="AN14" s="124">
        <v>0</v>
      </c>
      <c r="AO14" s="124">
        <v>0</v>
      </c>
      <c r="AP14" s="124">
        <v>0</v>
      </c>
      <c r="AQ14" s="124">
        <v>0</v>
      </c>
      <c r="AR14" s="124">
        <v>0</v>
      </c>
      <c r="AS14" s="124">
        <v>0</v>
      </c>
      <c r="AT14" s="124">
        <v>0</v>
      </c>
      <c r="AU14" s="124">
        <v>0</v>
      </c>
      <c r="AV14" s="124">
        <v>0</v>
      </c>
      <c r="AW14" s="124">
        <v>0</v>
      </c>
      <c r="AX14" s="124">
        <v>0</v>
      </c>
      <c r="AY14" s="124">
        <v>0</v>
      </c>
      <c r="AZ14" s="124">
        <v>0</v>
      </c>
      <c r="BA14" s="124">
        <v>0</v>
      </c>
      <c r="BB14" s="124">
        <v>0</v>
      </c>
      <c r="BC14" s="124">
        <v>0</v>
      </c>
      <c r="BD14" s="124">
        <v>0</v>
      </c>
      <c r="BE14" s="124">
        <v>0</v>
      </c>
      <c r="BF14" s="124">
        <v>0</v>
      </c>
      <c r="BG14" s="124">
        <v>0</v>
      </c>
      <c r="BH14" s="124">
        <v>0</v>
      </c>
      <c r="BI14" s="124">
        <v>0</v>
      </c>
      <c r="BJ14" s="124">
        <v>0</v>
      </c>
      <c r="BK14" s="124">
        <v>0</v>
      </c>
      <c r="BL14" s="124">
        <v>0</v>
      </c>
      <c r="BM14" s="124">
        <v>0</v>
      </c>
      <c r="BN14" s="124">
        <v>0</v>
      </c>
      <c r="BO14" s="124">
        <v>0</v>
      </c>
      <c r="BP14" s="124">
        <v>0</v>
      </c>
      <c r="BQ14" s="124">
        <v>0</v>
      </c>
      <c r="BR14" s="124">
        <v>0</v>
      </c>
      <c r="BS14" s="124">
        <v>0</v>
      </c>
      <c r="BT14" s="124">
        <v>0</v>
      </c>
      <c r="BU14" s="124">
        <v>0</v>
      </c>
      <c r="BV14" s="124">
        <v>0</v>
      </c>
      <c r="BW14" s="124">
        <v>0</v>
      </c>
      <c r="BX14" s="124">
        <v>0</v>
      </c>
      <c r="BY14" s="124">
        <v>0</v>
      </c>
    </row>
    <row r="15" spans="1:77" s="24" customFormat="1" ht="15" customHeight="1" x14ac:dyDescent="0.3">
      <c r="A15" s="104"/>
      <c r="B15" s="104"/>
      <c r="C15" s="104"/>
      <c r="D15" s="105"/>
      <c r="E15" s="106">
        <f t="shared" si="4"/>
        <v>4</v>
      </c>
      <c r="F15" s="107">
        <f>IF(Type&lt;&gt;"",IF(ROW(stage_id)=ROW($F$10)+2,1,IF(Type="S",MAX(prev_col_range)+1,MAX(prev_col_range))),-1)</f>
        <v>1</v>
      </c>
      <c r="G15" s="108">
        <f>_xlfn.IFNA(IF(OR(Type="T",Type="M"),MATCH(K15,הגדרות!$L$7:$L$14,0),-1),-1)</f>
        <v>1</v>
      </c>
      <c r="H15" s="109" t="s">
        <v>72</v>
      </c>
      <c r="I15" s="110" t="s">
        <v>82</v>
      </c>
      <c r="J15" s="105"/>
      <c r="K15" s="111" t="str">
        <f>_xlfn.IFNA(INDEX(הגדרות!$S$7:$S$40,MATCH(TeamMemeber,הגדרות!$Q$7:$Q$40,0)),"")</f>
        <v>PM</v>
      </c>
      <c r="L15" s="110" t="s">
        <v>58</v>
      </c>
      <c r="M15" s="112"/>
      <c r="N15" s="113"/>
      <c r="O15" s="114"/>
      <c r="P15" s="115">
        <f>E14</f>
        <v>3</v>
      </c>
      <c r="Q15" s="116" t="str">
        <f t="shared" si="5"/>
        <v>↖</v>
      </c>
      <c r="R15" s="117" t="str" cm="1">
        <f t="array" ref="R15">IFERROR("("&amp;d.type&amp;") "&amp;IF(LEN(d.name)&gt;7,LEFT(d.name,7)&amp;"…",d.name),"")</f>
        <v>(T) מיתוג ו…</v>
      </c>
      <c r="S15" s="118" t="s">
        <v>75</v>
      </c>
      <c r="T15" s="112"/>
      <c r="U15" s="119">
        <v>1</v>
      </c>
      <c r="V15" s="120" cm="1">
        <f t="array" ref="V15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45994</v>
      </c>
      <c r="W15" s="114" cm="1">
        <f t="array" ref="W15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45994</v>
      </c>
      <c r="X15" s="121">
        <v>45994</v>
      </c>
      <c r="Y15" s="122">
        <v>45994</v>
      </c>
      <c r="Z15" s="123"/>
      <c r="AA15" s="124">
        <v>0</v>
      </c>
      <c r="AB15" s="124">
        <v>0</v>
      </c>
      <c r="AC15" s="124">
        <v>0</v>
      </c>
      <c r="AD15" s="124">
        <v>0</v>
      </c>
      <c r="AE15" s="124">
        <v>0</v>
      </c>
      <c r="AF15" s="124">
        <v>0</v>
      </c>
      <c r="AG15" s="124">
        <v>0</v>
      </c>
      <c r="AH15" s="124">
        <v>0</v>
      </c>
      <c r="AI15" s="124">
        <v>0</v>
      </c>
      <c r="AJ15" s="124">
        <v>0</v>
      </c>
      <c r="AK15" s="124">
        <v>0</v>
      </c>
      <c r="AL15" s="124">
        <v>0</v>
      </c>
      <c r="AM15" s="124">
        <v>0</v>
      </c>
      <c r="AN15" s="124">
        <v>0</v>
      </c>
      <c r="AO15" s="124">
        <v>0</v>
      </c>
      <c r="AP15" s="124">
        <v>0</v>
      </c>
      <c r="AQ15" s="124">
        <v>0</v>
      </c>
      <c r="AR15" s="124">
        <v>0</v>
      </c>
      <c r="AS15" s="124">
        <v>0</v>
      </c>
      <c r="AT15" s="124">
        <v>0</v>
      </c>
      <c r="AU15" s="124">
        <v>0</v>
      </c>
      <c r="AV15" s="124">
        <v>0</v>
      </c>
      <c r="AW15" s="124">
        <v>0</v>
      </c>
      <c r="AX15" s="124">
        <v>0</v>
      </c>
      <c r="AY15" s="124">
        <v>0</v>
      </c>
      <c r="AZ15" s="124">
        <v>0</v>
      </c>
      <c r="BA15" s="124">
        <v>0</v>
      </c>
      <c r="BB15" s="124">
        <v>0</v>
      </c>
      <c r="BC15" s="124">
        <v>0</v>
      </c>
      <c r="BD15" s="124">
        <v>0</v>
      </c>
      <c r="BE15" s="124">
        <v>0</v>
      </c>
      <c r="BF15" s="124">
        <v>0</v>
      </c>
      <c r="BG15" s="124">
        <v>0</v>
      </c>
      <c r="BH15" s="124">
        <v>0</v>
      </c>
      <c r="BI15" s="124">
        <v>0</v>
      </c>
      <c r="BJ15" s="124">
        <v>0</v>
      </c>
      <c r="BK15" s="124">
        <v>0</v>
      </c>
      <c r="BL15" s="124">
        <v>0</v>
      </c>
      <c r="BM15" s="124">
        <v>0</v>
      </c>
      <c r="BN15" s="124">
        <v>0</v>
      </c>
      <c r="BO15" s="124">
        <v>0</v>
      </c>
      <c r="BP15" s="124">
        <v>0</v>
      </c>
      <c r="BQ15" s="124">
        <v>0</v>
      </c>
      <c r="BR15" s="124">
        <v>0</v>
      </c>
      <c r="BS15" s="124">
        <v>0</v>
      </c>
      <c r="BT15" s="124">
        <v>0</v>
      </c>
      <c r="BU15" s="124">
        <v>0</v>
      </c>
      <c r="BV15" s="124">
        <v>0</v>
      </c>
      <c r="BW15" s="124">
        <v>0</v>
      </c>
      <c r="BX15" s="124">
        <v>0</v>
      </c>
      <c r="BY15" s="124">
        <v>0</v>
      </c>
    </row>
    <row r="16" spans="1:77" s="24" customFormat="1" ht="15" customHeight="1" x14ac:dyDescent="0.3">
      <c r="A16" s="104"/>
      <c r="B16" s="104"/>
      <c r="C16" s="104"/>
      <c r="D16" s="105"/>
      <c r="E16" s="106">
        <f t="shared" si="4"/>
        <v>5</v>
      </c>
      <c r="F16" s="107">
        <f>IF(Type&lt;&gt;"",IF(ROW(stage_id)=ROW($F$10)+2,1,IF(Type="S",MAX(prev_col_range)+1,MAX(prev_col_range))),-1)</f>
        <v>1</v>
      </c>
      <c r="G16" s="108">
        <f>_xlfn.IFNA(IF(OR(Type="T",Type="M"),MATCH(K16,הגדרות!$L$7:$L$14,0),-1),-1)</f>
        <v>-1</v>
      </c>
      <c r="H16" s="109" t="s">
        <v>73</v>
      </c>
      <c r="I16" s="110" t="s">
        <v>83</v>
      </c>
      <c r="J16" s="105"/>
      <c r="K16" s="111" t="str">
        <f>_xlfn.IFNA(INDEX(הגדרות!$S$7:$S$40,MATCH(TeamMemeber,הגדרות!$Q$7:$Q$40,0)),"")</f>
        <v/>
      </c>
      <c r="L16" s="110"/>
      <c r="M16" s="112"/>
      <c r="N16" s="113"/>
      <c r="O16" s="114"/>
      <c r="P16" s="115">
        <f>E15</f>
        <v>4</v>
      </c>
      <c r="Q16" s="116" t="str">
        <f t="shared" si="5"/>
        <v>↖</v>
      </c>
      <c r="R16" s="117" t="str" cm="1">
        <f t="array" ref="R16">IFERROR("("&amp;d.type&amp;") "&amp;IF(LEN(d.name)&gt;7,LEFT(d.name,7)&amp;"…",d.name),"")</f>
        <v>(T) חלוקת מ…</v>
      </c>
      <c r="S16" s="118" t="s">
        <v>75</v>
      </c>
      <c r="T16" s="112"/>
      <c r="U16" s="119">
        <v>0</v>
      </c>
      <c r="V16" s="120" cm="1">
        <f t="array" ref="V16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45995</v>
      </c>
      <c r="W16" s="114" cm="1">
        <f t="array" ref="W16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45995</v>
      </c>
      <c r="X16" s="121">
        <v>45995</v>
      </c>
      <c r="Y16" s="122">
        <v>45995</v>
      </c>
      <c r="Z16" s="123"/>
      <c r="AA16" s="124">
        <v>0</v>
      </c>
      <c r="AB16" s="124">
        <v>0</v>
      </c>
      <c r="AC16" s="124">
        <v>0</v>
      </c>
      <c r="AD16" s="124">
        <v>0</v>
      </c>
      <c r="AE16" s="124">
        <v>0</v>
      </c>
      <c r="AF16" s="124">
        <v>0</v>
      </c>
      <c r="AG16" s="124">
        <v>0</v>
      </c>
      <c r="AH16" s="124">
        <v>0</v>
      </c>
      <c r="AI16" s="124">
        <v>0</v>
      </c>
      <c r="AJ16" s="124">
        <v>0</v>
      </c>
      <c r="AK16" s="124">
        <v>0</v>
      </c>
      <c r="AL16" s="124">
        <v>0</v>
      </c>
      <c r="AM16" s="124">
        <v>0</v>
      </c>
      <c r="AN16" s="124">
        <v>0</v>
      </c>
      <c r="AO16" s="124">
        <v>0</v>
      </c>
      <c r="AP16" s="124">
        <v>0</v>
      </c>
      <c r="AQ16" s="124">
        <v>0</v>
      </c>
      <c r="AR16" s="124">
        <v>0</v>
      </c>
      <c r="AS16" s="124">
        <v>0</v>
      </c>
      <c r="AT16" s="124">
        <v>0</v>
      </c>
      <c r="AU16" s="124">
        <v>0</v>
      </c>
      <c r="AV16" s="124">
        <v>0</v>
      </c>
      <c r="AW16" s="124">
        <v>0</v>
      </c>
      <c r="AX16" s="124">
        <v>0</v>
      </c>
      <c r="AY16" s="124">
        <v>0</v>
      </c>
      <c r="AZ16" s="124">
        <v>0</v>
      </c>
      <c r="BA16" s="124">
        <v>0</v>
      </c>
      <c r="BB16" s="124">
        <v>0</v>
      </c>
      <c r="BC16" s="124">
        <v>0</v>
      </c>
      <c r="BD16" s="124">
        <v>0</v>
      </c>
      <c r="BE16" s="124">
        <v>0</v>
      </c>
      <c r="BF16" s="124">
        <v>0</v>
      </c>
      <c r="BG16" s="124">
        <v>0</v>
      </c>
      <c r="BH16" s="124">
        <v>0</v>
      </c>
      <c r="BI16" s="124">
        <v>0</v>
      </c>
      <c r="BJ16" s="124">
        <v>0</v>
      </c>
      <c r="BK16" s="124">
        <v>0</v>
      </c>
      <c r="BL16" s="124">
        <v>0</v>
      </c>
      <c r="BM16" s="124">
        <v>0</v>
      </c>
      <c r="BN16" s="124">
        <v>0</v>
      </c>
      <c r="BO16" s="124">
        <v>0</v>
      </c>
      <c r="BP16" s="124">
        <v>0</v>
      </c>
      <c r="BQ16" s="124">
        <v>0</v>
      </c>
      <c r="BR16" s="124">
        <v>0</v>
      </c>
      <c r="BS16" s="124">
        <v>0</v>
      </c>
      <c r="BT16" s="124">
        <v>0</v>
      </c>
      <c r="BU16" s="124">
        <v>0</v>
      </c>
      <c r="BV16" s="124">
        <v>0</v>
      </c>
      <c r="BW16" s="124">
        <v>0</v>
      </c>
      <c r="BX16" s="124">
        <v>0</v>
      </c>
      <c r="BY16" s="124">
        <v>0</v>
      </c>
    </row>
    <row r="17" spans="1:77" s="24" customFormat="1" ht="15" customHeight="1" x14ac:dyDescent="0.3">
      <c r="A17" s="104"/>
      <c r="B17" s="104"/>
      <c r="C17" s="104"/>
      <c r="D17" s="105"/>
      <c r="E17" s="106">
        <f t="shared" si="4"/>
        <v>6</v>
      </c>
      <c r="F17" s="107">
        <f>IF(Type&lt;&gt;"",IF(ROW(stage_id)=ROW($F$10)+2,1,IF(Type="S",MAX(prev_col_range)+1,MAX(prev_col_range))),-1)</f>
        <v>2</v>
      </c>
      <c r="G17" s="108">
        <f>_xlfn.IFNA(IF(OR(Type="T",Type="M"),MATCH(K17,הגדרות!$L$7:$L$14,0),-1),-1)</f>
        <v>-1</v>
      </c>
      <c r="H17" s="109" t="s">
        <v>71</v>
      </c>
      <c r="I17" s="110" t="s">
        <v>84</v>
      </c>
      <c r="J17" s="105"/>
      <c r="K17" s="111" t="str">
        <f>_xlfn.IFNA(INDEX(הגדרות!$S$7:$S$40,MATCH(TeamMemeber,הגדרות!$Q$7:$Q$40,0)),"")</f>
        <v/>
      </c>
      <c r="L17" s="110"/>
      <c r="M17" s="112"/>
      <c r="N17" s="113">
        <f>MIN(V18:V23)</f>
        <v>45998</v>
      </c>
      <c r="O17" s="114"/>
      <c r="P17" s="115"/>
      <c r="Q17" s="116" t="str">
        <f t="shared" si="5"/>
        <v/>
      </c>
      <c r="R17" s="117" t="str" cm="1">
        <f t="array" ref="R17">IFERROR("("&amp;d.type&amp;") "&amp;IF(LEN(d.name)&gt;7,LEFT(d.name,7)&amp;"…",d.name),"")</f>
        <v/>
      </c>
      <c r="S17" s="118"/>
      <c r="T17" s="112"/>
      <c r="U17" s="119"/>
      <c r="V17" s="120" cm="1">
        <f t="array" ref="V17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45998</v>
      </c>
      <c r="W17" s="114" cm="1">
        <f t="array" ref="W17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45998</v>
      </c>
      <c r="X17" s="121">
        <v>45998</v>
      </c>
      <c r="Y17" s="122">
        <v>45998</v>
      </c>
      <c r="Z17" s="123" cm="1">
        <f t="array" ref="Z17">SUM(Z18:Z23*U18:U23)/SUM(U18:U23)</f>
        <v>0</v>
      </c>
      <c r="AA17" s="124">
        <v>0</v>
      </c>
      <c r="AB17" s="124">
        <v>0</v>
      </c>
      <c r="AC17" s="124">
        <v>0</v>
      </c>
      <c r="AD17" s="124">
        <v>0</v>
      </c>
      <c r="AE17" s="124">
        <v>0</v>
      </c>
      <c r="AF17" s="124">
        <v>0</v>
      </c>
      <c r="AG17" s="124">
        <v>0</v>
      </c>
      <c r="AH17" s="124">
        <v>0</v>
      </c>
      <c r="AI17" s="124">
        <v>0</v>
      </c>
      <c r="AJ17" s="124">
        <v>0</v>
      </c>
      <c r="AK17" s="124">
        <v>0</v>
      </c>
      <c r="AL17" s="124">
        <v>0</v>
      </c>
      <c r="AM17" s="124">
        <v>0</v>
      </c>
      <c r="AN17" s="124">
        <v>0</v>
      </c>
      <c r="AO17" s="124">
        <v>0</v>
      </c>
      <c r="AP17" s="124">
        <v>0</v>
      </c>
      <c r="AQ17" s="124">
        <v>0</v>
      </c>
      <c r="AR17" s="124">
        <v>0</v>
      </c>
      <c r="AS17" s="124">
        <v>0</v>
      </c>
      <c r="AT17" s="124">
        <v>0</v>
      </c>
      <c r="AU17" s="124">
        <v>0</v>
      </c>
      <c r="AV17" s="124">
        <v>0</v>
      </c>
      <c r="AW17" s="124">
        <v>0</v>
      </c>
      <c r="AX17" s="124">
        <v>0</v>
      </c>
      <c r="AY17" s="124">
        <v>0</v>
      </c>
      <c r="AZ17" s="124">
        <v>0</v>
      </c>
      <c r="BA17" s="124">
        <v>0</v>
      </c>
      <c r="BB17" s="124">
        <v>0</v>
      </c>
      <c r="BC17" s="124">
        <v>0</v>
      </c>
      <c r="BD17" s="124">
        <v>0</v>
      </c>
      <c r="BE17" s="124">
        <v>0</v>
      </c>
      <c r="BF17" s="124">
        <v>0</v>
      </c>
      <c r="BG17" s="124">
        <v>0</v>
      </c>
      <c r="BH17" s="124">
        <v>0</v>
      </c>
      <c r="BI17" s="124">
        <v>0</v>
      </c>
      <c r="BJ17" s="124">
        <v>0</v>
      </c>
      <c r="BK17" s="124">
        <v>0</v>
      </c>
      <c r="BL17" s="124">
        <v>0</v>
      </c>
      <c r="BM17" s="124">
        <v>0</v>
      </c>
      <c r="BN17" s="124">
        <v>0</v>
      </c>
      <c r="BO17" s="124">
        <v>0</v>
      </c>
      <c r="BP17" s="124">
        <v>0</v>
      </c>
      <c r="BQ17" s="124">
        <v>0</v>
      </c>
      <c r="BR17" s="124">
        <v>0</v>
      </c>
      <c r="BS17" s="124">
        <v>0</v>
      </c>
      <c r="BT17" s="124">
        <v>0</v>
      </c>
      <c r="BU17" s="124">
        <v>0</v>
      </c>
      <c r="BV17" s="124">
        <v>0</v>
      </c>
      <c r="BW17" s="124">
        <v>0</v>
      </c>
      <c r="BX17" s="124">
        <v>0</v>
      </c>
      <c r="BY17" s="124">
        <v>0</v>
      </c>
    </row>
    <row r="18" spans="1:77" s="24" customFormat="1" ht="15" customHeight="1" x14ac:dyDescent="0.3">
      <c r="A18" s="104"/>
      <c r="B18" s="104"/>
      <c r="C18" s="104"/>
      <c r="D18" s="105"/>
      <c r="E18" s="106">
        <f t="shared" si="4"/>
        <v>7</v>
      </c>
      <c r="F18" s="107">
        <f>IF(Type&lt;&gt;"",IF(ROW(stage_id)=ROW($F$10)+2,1,IF(Type="S",MAX(prev_col_range)+1,MAX(prev_col_range))),-1)</f>
        <v>2</v>
      </c>
      <c r="G18" s="108">
        <f>_xlfn.IFNA(IF(OR(Type="T",Type="M"),MATCH(K18,הגדרות!$L$7:$L$14,0),-1),-1)</f>
        <v>3</v>
      </c>
      <c r="H18" s="109" t="s">
        <v>72</v>
      </c>
      <c r="I18" s="110" t="s">
        <v>85</v>
      </c>
      <c r="J18" s="105"/>
      <c r="K18" s="111" t="str">
        <f>_xlfn.IFNA(INDEX(הגדרות!$S$7:$S$40,MATCH(TeamMemeber,הגדרות!$Q$7:$Q$40,0)),"")</f>
        <v>AP</v>
      </c>
      <c r="L18" s="110" t="s">
        <v>61</v>
      </c>
      <c r="M18" s="112"/>
      <c r="N18" s="113"/>
      <c r="O18" s="114"/>
      <c r="P18" s="115">
        <f>E16</f>
        <v>5</v>
      </c>
      <c r="Q18" s="116" t="str">
        <f t="shared" si="5"/>
        <v>↖</v>
      </c>
      <c r="R18" s="117" t="str" cm="1">
        <f t="array" ref="R18">IFERROR("("&amp;d.type&amp;") "&amp;IF(LEN(d.name)&gt;7,LEFT(d.name,7)&amp;"…",d.name),"")</f>
        <v>(M) סיכום ש…</v>
      </c>
      <c r="S18" s="118" t="s">
        <v>75</v>
      </c>
      <c r="T18" s="112"/>
      <c r="U18" s="119">
        <v>3</v>
      </c>
      <c r="V18" s="120" cm="1">
        <f t="array" ref="V18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45998</v>
      </c>
      <c r="W18" s="114" cm="1">
        <f t="array" ref="W18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46000</v>
      </c>
      <c r="X18" s="121">
        <v>45998</v>
      </c>
      <c r="Y18" s="122">
        <v>46000</v>
      </c>
      <c r="Z18" s="123"/>
      <c r="AA18" s="124">
        <v>0</v>
      </c>
      <c r="AB18" s="124">
        <v>0</v>
      </c>
      <c r="AC18" s="124">
        <v>0</v>
      </c>
      <c r="AD18" s="124">
        <v>0</v>
      </c>
      <c r="AE18" s="124">
        <v>0</v>
      </c>
      <c r="AF18" s="124">
        <v>0</v>
      </c>
      <c r="AG18" s="124">
        <v>0</v>
      </c>
      <c r="AH18" s="124">
        <v>0</v>
      </c>
      <c r="AI18" s="124">
        <v>0</v>
      </c>
      <c r="AJ18" s="124">
        <v>0</v>
      </c>
      <c r="AK18" s="124">
        <v>0</v>
      </c>
      <c r="AL18" s="124">
        <v>0</v>
      </c>
      <c r="AM18" s="124">
        <v>0</v>
      </c>
      <c r="AN18" s="124">
        <v>0</v>
      </c>
      <c r="AO18" s="124">
        <v>0</v>
      </c>
      <c r="AP18" s="124">
        <v>0</v>
      </c>
      <c r="AQ18" s="124">
        <v>0</v>
      </c>
      <c r="AR18" s="124">
        <v>0</v>
      </c>
      <c r="AS18" s="124">
        <v>0</v>
      </c>
      <c r="AT18" s="124">
        <v>0</v>
      </c>
      <c r="AU18" s="124">
        <v>0</v>
      </c>
      <c r="AV18" s="124">
        <v>0</v>
      </c>
      <c r="AW18" s="124">
        <v>0</v>
      </c>
      <c r="AX18" s="124">
        <v>0</v>
      </c>
      <c r="AY18" s="124">
        <v>0</v>
      </c>
      <c r="AZ18" s="124">
        <v>0</v>
      </c>
      <c r="BA18" s="124">
        <v>0</v>
      </c>
      <c r="BB18" s="124">
        <v>0</v>
      </c>
      <c r="BC18" s="124">
        <v>0</v>
      </c>
      <c r="BD18" s="124">
        <v>0</v>
      </c>
      <c r="BE18" s="124">
        <v>0</v>
      </c>
      <c r="BF18" s="124">
        <v>0</v>
      </c>
      <c r="BG18" s="124">
        <v>0</v>
      </c>
      <c r="BH18" s="124">
        <v>0</v>
      </c>
      <c r="BI18" s="124">
        <v>0</v>
      </c>
      <c r="BJ18" s="124">
        <v>0</v>
      </c>
      <c r="BK18" s="124">
        <v>0</v>
      </c>
      <c r="BL18" s="124">
        <v>0</v>
      </c>
      <c r="BM18" s="124">
        <v>0</v>
      </c>
      <c r="BN18" s="124">
        <v>0</v>
      </c>
      <c r="BO18" s="124">
        <v>0</v>
      </c>
      <c r="BP18" s="124">
        <v>0</v>
      </c>
      <c r="BQ18" s="124">
        <v>0</v>
      </c>
      <c r="BR18" s="124">
        <v>0</v>
      </c>
      <c r="BS18" s="124">
        <v>0</v>
      </c>
      <c r="BT18" s="124">
        <v>0</v>
      </c>
      <c r="BU18" s="124">
        <v>0</v>
      </c>
      <c r="BV18" s="124">
        <v>0</v>
      </c>
      <c r="BW18" s="124">
        <v>0</v>
      </c>
      <c r="BX18" s="124">
        <v>0</v>
      </c>
      <c r="BY18" s="124">
        <v>0</v>
      </c>
    </row>
    <row r="19" spans="1:77" s="24" customFormat="1" ht="15" customHeight="1" x14ac:dyDescent="0.3">
      <c r="A19" s="104"/>
      <c r="B19" s="104"/>
      <c r="C19" s="104"/>
      <c r="D19" s="105"/>
      <c r="E19" s="106">
        <f t="shared" si="4"/>
        <v>8</v>
      </c>
      <c r="F19" s="107">
        <f>IF(Type&lt;&gt;"",IF(ROW(stage_id)=ROW($F$10)+2,1,IF(Type="S",MAX(prev_col_range)+1,MAX(prev_col_range))),-1)</f>
        <v>2</v>
      </c>
      <c r="G19" s="108">
        <f>_xlfn.IFNA(IF(OR(Type="T",Type="M"),MATCH(K19,הגדרות!$L$7:$L$14,0),-1),-1)</f>
        <v>4</v>
      </c>
      <c r="H19" s="109" t="s">
        <v>72</v>
      </c>
      <c r="I19" s="110" t="s">
        <v>86</v>
      </c>
      <c r="J19" s="105"/>
      <c r="K19" s="111" t="str">
        <f>_xlfn.IFNA(INDEX(הגדרות!$S$7:$S$40,MATCH(TeamMemeber,הגדרות!$Q$7:$Q$40,0)),"")</f>
        <v>DC</v>
      </c>
      <c r="L19" s="110" t="s">
        <v>62</v>
      </c>
      <c r="M19" s="112" t="s">
        <v>14</v>
      </c>
      <c r="N19" s="113"/>
      <c r="O19" s="114"/>
      <c r="P19" s="115">
        <f>E18</f>
        <v>7</v>
      </c>
      <c r="Q19" s="116" t="str">
        <f t="shared" si="5"/>
        <v>↖</v>
      </c>
      <c r="R19" s="117" t="str" cm="1">
        <f t="array" ref="R19">IFERROR("("&amp;d.type&amp;") "&amp;IF(LEN(d.name)&gt;7,LEFT(d.name,7)&amp;"…",d.name),"")</f>
        <v>(T) אפיון מ…</v>
      </c>
      <c r="S19" s="118" t="s">
        <v>77</v>
      </c>
      <c r="T19" s="112"/>
      <c r="U19" s="119">
        <v>4</v>
      </c>
      <c r="V19" s="120" cm="1">
        <f t="array" ref="V19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45998</v>
      </c>
      <c r="W19" s="114" cm="1">
        <f t="array" ref="W19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46001</v>
      </c>
      <c r="X19" s="121">
        <v>45998</v>
      </c>
      <c r="Y19" s="122">
        <v>46001</v>
      </c>
      <c r="Z19" s="123"/>
      <c r="AA19" s="124">
        <v>0</v>
      </c>
      <c r="AB19" s="124">
        <v>0</v>
      </c>
      <c r="AC19" s="124">
        <v>0</v>
      </c>
      <c r="AD19" s="124">
        <v>0</v>
      </c>
      <c r="AE19" s="124">
        <v>0</v>
      </c>
      <c r="AF19" s="124">
        <v>0</v>
      </c>
      <c r="AG19" s="124">
        <v>0</v>
      </c>
      <c r="AH19" s="124">
        <v>0</v>
      </c>
      <c r="AI19" s="124">
        <v>0</v>
      </c>
      <c r="AJ19" s="124">
        <v>0</v>
      </c>
      <c r="AK19" s="124">
        <v>0</v>
      </c>
      <c r="AL19" s="124">
        <v>0</v>
      </c>
      <c r="AM19" s="124">
        <v>0</v>
      </c>
      <c r="AN19" s="124">
        <v>0</v>
      </c>
      <c r="AO19" s="124">
        <v>0</v>
      </c>
      <c r="AP19" s="124">
        <v>0</v>
      </c>
      <c r="AQ19" s="124">
        <v>0</v>
      </c>
      <c r="AR19" s="124">
        <v>0</v>
      </c>
      <c r="AS19" s="124">
        <v>0</v>
      </c>
      <c r="AT19" s="124">
        <v>0</v>
      </c>
      <c r="AU19" s="124">
        <v>0</v>
      </c>
      <c r="AV19" s="124">
        <v>0</v>
      </c>
      <c r="AW19" s="124">
        <v>0</v>
      </c>
      <c r="AX19" s="124">
        <v>0</v>
      </c>
      <c r="AY19" s="124">
        <v>0</v>
      </c>
      <c r="AZ19" s="124">
        <v>0</v>
      </c>
      <c r="BA19" s="124">
        <v>0</v>
      </c>
      <c r="BB19" s="124">
        <v>0</v>
      </c>
      <c r="BC19" s="124">
        <v>0</v>
      </c>
      <c r="BD19" s="124">
        <v>0</v>
      </c>
      <c r="BE19" s="124">
        <v>0</v>
      </c>
      <c r="BF19" s="124">
        <v>0</v>
      </c>
      <c r="BG19" s="124">
        <v>0</v>
      </c>
      <c r="BH19" s="124">
        <v>0</v>
      </c>
      <c r="BI19" s="124">
        <v>0</v>
      </c>
      <c r="BJ19" s="124">
        <v>0</v>
      </c>
      <c r="BK19" s="124">
        <v>0</v>
      </c>
      <c r="BL19" s="124">
        <v>0</v>
      </c>
      <c r="BM19" s="124">
        <v>0</v>
      </c>
      <c r="BN19" s="124">
        <v>0</v>
      </c>
      <c r="BO19" s="124">
        <v>0</v>
      </c>
      <c r="BP19" s="124">
        <v>0</v>
      </c>
      <c r="BQ19" s="124">
        <v>0</v>
      </c>
      <c r="BR19" s="124">
        <v>0</v>
      </c>
      <c r="BS19" s="124">
        <v>0</v>
      </c>
      <c r="BT19" s="124">
        <v>0</v>
      </c>
      <c r="BU19" s="124">
        <v>0</v>
      </c>
      <c r="BV19" s="124">
        <v>0</v>
      </c>
      <c r="BW19" s="124">
        <v>0</v>
      </c>
      <c r="BX19" s="124">
        <v>0</v>
      </c>
      <c r="BY19" s="124">
        <v>0</v>
      </c>
    </row>
    <row r="20" spans="1:77" s="24" customFormat="1" ht="15" customHeight="1" x14ac:dyDescent="0.3">
      <c r="A20" s="104"/>
      <c r="B20" s="104"/>
      <c r="C20" s="104"/>
      <c r="D20" s="105"/>
      <c r="E20" s="106">
        <f t="shared" si="4"/>
        <v>9</v>
      </c>
      <c r="F20" s="107">
        <f>IF(Type&lt;&gt;"",IF(ROW(stage_id)=ROW($F$10)+2,1,IF(Type="S",MAX(prev_col_range)+1,MAX(prev_col_range))),-1)</f>
        <v>2</v>
      </c>
      <c r="G20" s="108">
        <f>_xlfn.IFNA(IF(OR(Type="T",Type="M"),MATCH(K20,הגדרות!$L$7:$L$14,0),-1),-1)</f>
        <v>3</v>
      </c>
      <c r="H20" s="109" t="s">
        <v>72</v>
      </c>
      <c r="I20" s="110" t="s">
        <v>87</v>
      </c>
      <c r="J20" s="105"/>
      <c r="K20" s="111" t="str">
        <f>_xlfn.IFNA(INDEX(הגדרות!$S$7:$S$40,MATCH(TeamMemeber,הגדרות!$Q$7:$Q$40,0)),"")</f>
        <v>AP</v>
      </c>
      <c r="L20" s="110" t="s">
        <v>61</v>
      </c>
      <c r="M20" s="112"/>
      <c r="N20" s="113"/>
      <c r="O20" s="114"/>
      <c r="P20" s="115">
        <f>E19</f>
        <v>8</v>
      </c>
      <c r="Q20" s="116" t="str">
        <f t="shared" si="5"/>
        <v>↖</v>
      </c>
      <c r="R20" s="117" t="str" cm="1">
        <f t="array" ref="R20">IFERROR("("&amp;d.type&amp;") "&amp;IF(LEN(d.name)&gt;7,LEFT(d.name,7)&amp;"…",d.name),"")</f>
        <v>(T) בניית ת…</v>
      </c>
      <c r="S20" s="118" t="s">
        <v>75</v>
      </c>
      <c r="T20" s="112"/>
      <c r="U20" s="119">
        <v>10</v>
      </c>
      <c r="V20" s="120" cm="1">
        <f t="array" ref="V20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46002</v>
      </c>
      <c r="W20" s="114" cm="1">
        <f t="array" ref="W20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46015</v>
      </c>
      <c r="X20" s="121">
        <v>46002</v>
      </c>
      <c r="Y20" s="122">
        <v>46015</v>
      </c>
      <c r="Z20" s="123"/>
      <c r="AA20" s="124">
        <v>0</v>
      </c>
      <c r="AB20" s="124">
        <v>0</v>
      </c>
      <c r="AC20" s="124">
        <v>0</v>
      </c>
      <c r="AD20" s="124">
        <v>0</v>
      </c>
      <c r="AE20" s="124">
        <v>0</v>
      </c>
      <c r="AF20" s="124">
        <v>0</v>
      </c>
      <c r="AG20" s="124">
        <v>0</v>
      </c>
      <c r="AH20" s="124">
        <v>0</v>
      </c>
      <c r="AI20" s="124">
        <v>0</v>
      </c>
      <c r="AJ20" s="124">
        <v>0</v>
      </c>
      <c r="AK20" s="124">
        <v>0</v>
      </c>
      <c r="AL20" s="124">
        <v>0</v>
      </c>
      <c r="AM20" s="124">
        <v>0</v>
      </c>
      <c r="AN20" s="124">
        <v>0</v>
      </c>
      <c r="AO20" s="124">
        <v>0</v>
      </c>
      <c r="AP20" s="124">
        <v>0</v>
      </c>
      <c r="AQ20" s="124">
        <v>0</v>
      </c>
      <c r="AR20" s="124">
        <v>0</v>
      </c>
      <c r="AS20" s="124">
        <v>0</v>
      </c>
      <c r="AT20" s="124">
        <v>0</v>
      </c>
      <c r="AU20" s="124">
        <v>0</v>
      </c>
      <c r="AV20" s="124">
        <v>0</v>
      </c>
      <c r="AW20" s="124">
        <v>0</v>
      </c>
      <c r="AX20" s="124">
        <v>0</v>
      </c>
      <c r="AY20" s="124">
        <v>0</v>
      </c>
      <c r="AZ20" s="124">
        <v>0</v>
      </c>
      <c r="BA20" s="124">
        <v>0</v>
      </c>
      <c r="BB20" s="124">
        <v>0</v>
      </c>
      <c r="BC20" s="124">
        <v>0</v>
      </c>
      <c r="BD20" s="124">
        <v>0</v>
      </c>
      <c r="BE20" s="124">
        <v>0</v>
      </c>
      <c r="BF20" s="124">
        <v>0</v>
      </c>
      <c r="BG20" s="124">
        <v>0</v>
      </c>
      <c r="BH20" s="124">
        <v>0</v>
      </c>
      <c r="BI20" s="124">
        <v>0</v>
      </c>
      <c r="BJ20" s="124">
        <v>0</v>
      </c>
      <c r="BK20" s="124">
        <v>0</v>
      </c>
      <c r="BL20" s="124">
        <v>0</v>
      </c>
      <c r="BM20" s="124">
        <v>0</v>
      </c>
      <c r="BN20" s="124">
        <v>0</v>
      </c>
      <c r="BO20" s="124">
        <v>0</v>
      </c>
      <c r="BP20" s="124">
        <v>0</v>
      </c>
      <c r="BQ20" s="124">
        <v>0</v>
      </c>
      <c r="BR20" s="124">
        <v>0</v>
      </c>
      <c r="BS20" s="124">
        <v>0</v>
      </c>
      <c r="BT20" s="124">
        <v>0</v>
      </c>
      <c r="BU20" s="124">
        <v>0</v>
      </c>
      <c r="BV20" s="124">
        <v>0</v>
      </c>
      <c r="BW20" s="124">
        <v>0</v>
      </c>
      <c r="BX20" s="124">
        <v>0</v>
      </c>
      <c r="BY20" s="124">
        <v>0</v>
      </c>
    </row>
    <row r="21" spans="1:77" s="24" customFormat="1" ht="15" customHeight="1" x14ac:dyDescent="0.3">
      <c r="A21" s="104"/>
      <c r="B21" s="104"/>
      <c r="C21" s="104"/>
      <c r="D21" s="105"/>
      <c r="E21" s="106">
        <f t="shared" si="4"/>
        <v>10</v>
      </c>
      <c r="F21" s="107">
        <f>IF(Type&lt;&gt;"",IF(ROW(stage_id)=ROW($F$10)+2,1,IF(Type="S",MAX(prev_col_range)+1,MAX(prev_col_range))),-1)</f>
        <v>2</v>
      </c>
      <c r="G21" s="108">
        <f>_xlfn.IFNA(IF(OR(Type="T",Type="M"),MATCH(K21,הגדרות!$L$7:$L$14,0),-1),-1)</f>
        <v>1</v>
      </c>
      <c r="H21" s="109" t="s">
        <v>72</v>
      </c>
      <c r="I21" s="110" t="s">
        <v>88</v>
      </c>
      <c r="J21" s="105"/>
      <c r="K21" s="111" t="str">
        <f>_xlfn.IFNA(INDEX(הגדרות!$S$7:$S$40,MATCH(TeamMemeber,הגדרות!$Q$7:$Q$40,0)),"")</f>
        <v>PM</v>
      </c>
      <c r="L21" s="110" t="s">
        <v>58</v>
      </c>
      <c r="M21" s="112"/>
      <c r="N21" s="113"/>
      <c r="O21" s="114"/>
      <c r="P21" s="115">
        <f>E20</f>
        <v>9</v>
      </c>
      <c r="Q21" s="116" t="str">
        <f t="shared" si="5"/>
        <v>↖</v>
      </c>
      <c r="R21" s="117" t="str" cm="1">
        <f t="array" ref="R21">IFERROR("("&amp;d.type&amp;") "&amp;IF(LEN(d.name)&gt;7,LEFT(d.name,7)&amp;"…",d.name),"")</f>
        <v>(T) פיתוח א…</v>
      </c>
      <c r="S21" s="118" t="s">
        <v>75</v>
      </c>
      <c r="T21" s="112"/>
      <c r="U21" s="119">
        <v>3</v>
      </c>
      <c r="V21" s="120" cm="1">
        <f t="array" ref="V21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46016</v>
      </c>
      <c r="W21" s="114" cm="1">
        <f t="array" ref="W21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46020</v>
      </c>
      <c r="X21" s="121">
        <v>46016</v>
      </c>
      <c r="Y21" s="122">
        <v>46020</v>
      </c>
      <c r="Z21" s="123"/>
      <c r="AA21" s="124">
        <v>0</v>
      </c>
      <c r="AB21" s="124">
        <v>0</v>
      </c>
      <c r="AC21" s="124">
        <v>0</v>
      </c>
      <c r="AD21" s="124">
        <v>0</v>
      </c>
      <c r="AE21" s="124">
        <v>0</v>
      </c>
      <c r="AF21" s="124">
        <v>0</v>
      </c>
      <c r="AG21" s="124">
        <v>0</v>
      </c>
      <c r="AH21" s="124">
        <v>0</v>
      </c>
      <c r="AI21" s="124">
        <v>0</v>
      </c>
      <c r="AJ21" s="124">
        <v>0</v>
      </c>
      <c r="AK21" s="124">
        <v>0</v>
      </c>
      <c r="AL21" s="124">
        <v>0</v>
      </c>
      <c r="AM21" s="124">
        <v>0</v>
      </c>
      <c r="AN21" s="124">
        <v>0</v>
      </c>
      <c r="AO21" s="124">
        <v>0</v>
      </c>
      <c r="AP21" s="124">
        <v>0</v>
      </c>
      <c r="AQ21" s="124">
        <v>0</v>
      </c>
      <c r="AR21" s="124">
        <v>0</v>
      </c>
      <c r="AS21" s="124">
        <v>0</v>
      </c>
      <c r="AT21" s="124">
        <v>0</v>
      </c>
      <c r="AU21" s="124">
        <v>0</v>
      </c>
      <c r="AV21" s="124">
        <v>0</v>
      </c>
      <c r="AW21" s="124">
        <v>0</v>
      </c>
      <c r="AX21" s="124">
        <v>0</v>
      </c>
      <c r="AY21" s="124">
        <v>0</v>
      </c>
      <c r="AZ21" s="124">
        <v>0</v>
      </c>
      <c r="BA21" s="124">
        <v>0</v>
      </c>
      <c r="BB21" s="124">
        <v>0</v>
      </c>
      <c r="BC21" s="124">
        <v>0</v>
      </c>
      <c r="BD21" s="124">
        <v>0</v>
      </c>
      <c r="BE21" s="124">
        <v>0</v>
      </c>
      <c r="BF21" s="124">
        <v>0</v>
      </c>
      <c r="BG21" s="124">
        <v>0</v>
      </c>
      <c r="BH21" s="124">
        <v>0</v>
      </c>
      <c r="BI21" s="124">
        <v>0</v>
      </c>
      <c r="BJ21" s="124">
        <v>0</v>
      </c>
      <c r="BK21" s="124">
        <v>0</v>
      </c>
      <c r="BL21" s="124">
        <v>0</v>
      </c>
      <c r="BM21" s="124">
        <v>0</v>
      </c>
      <c r="BN21" s="124">
        <v>0</v>
      </c>
      <c r="BO21" s="124">
        <v>0</v>
      </c>
      <c r="BP21" s="124">
        <v>0</v>
      </c>
      <c r="BQ21" s="124">
        <v>0</v>
      </c>
      <c r="BR21" s="124">
        <v>0</v>
      </c>
      <c r="BS21" s="124">
        <v>0</v>
      </c>
      <c r="BT21" s="124">
        <v>0</v>
      </c>
      <c r="BU21" s="124">
        <v>0</v>
      </c>
      <c r="BV21" s="124">
        <v>0</v>
      </c>
      <c r="BW21" s="124">
        <v>0</v>
      </c>
      <c r="BX21" s="124">
        <v>0</v>
      </c>
      <c r="BY21" s="124">
        <v>0</v>
      </c>
    </row>
    <row r="22" spans="1:77" s="24" customFormat="1" ht="15" customHeight="1" x14ac:dyDescent="0.3">
      <c r="A22" s="104"/>
      <c r="B22" s="104"/>
      <c r="C22" s="104"/>
      <c r="D22" s="105"/>
      <c r="E22" s="106">
        <f t="shared" si="4"/>
        <v>11</v>
      </c>
      <c r="F22" s="107">
        <f>IF(Type&lt;&gt;"",IF(ROW(stage_id)=ROW($F$10)+2,1,IF(Type="S",MAX(prev_col_range)+1,MAX(prev_col_range))),-1)</f>
        <v>2</v>
      </c>
      <c r="G22" s="108">
        <f>_xlfn.IFNA(IF(OR(Type="T",Type="M"),MATCH(K22,הגדרות!$L$7:$L$14,0),-1),-1)</f>
        <v>4</v>
      </c>
      <c r="H22" s="109" t="s">
        <v>72</v>
      </c>
      <c r="I22" s="110" t="s">
        <v>89</v>
      </c>
      <c r="J22" s="105"/>
      <c r="K22" s="111" t="str">
        <f>_xlfn.IFNA(INDEX(הגדרות!$S$7:$S$40,MATCH(TeamMemeber,הגדרות!$Q$7:$Q$40,0)),"")</f>
        <v>DC</v>
      </c>
      <c r="L22" s="110" t="s">
        <v>62</v>
      </c>
      <c r="M22" s="112"/>
      <c r="N22" s="113"/>
      <c r="O22" s="114"/>
      <c r="P22" s="115">
        <f>E21</f>
        <v>10</v>
      </c>
      <c r="Q22" s="116" t="str">
        <f t="shared" si="5"/>
        <v>↖</v>
      </c>
      <c r="R22" s="117" t="str" cm="1">
        <f t="array" ref="R22">IFERROR("("&amp;d.type&amp;") "&amp;IF(LEN(d.name)&gt;7,LEFT(d.name,7)&amp;"…",d.name),"")</f>
        <v>(T) עיצוב ח…</v>
      </c>
      <c r="S22" s="118" t="s">
        <v>78</v>
      </c>
      <c r="T22" s="112"/>
      <c r="U22" s="119">
        <v>2</v>
      </c>
      <c r="V22" s="120" cm="1">
        <f t="array" ref="V22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46014</v>
      </c>
      <c r="W22" s="114" cm="1">
        <f t="array" ref="W22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46015</v>
      </c>
      <c r="X22" s="121">
        <v>46014</v>
      </c>
      <c r="Y22" s="122">
        <v>46015</v>
      </c>
      <c r="Z22" s="123"/>
      <c r="AA22" s="124">
        <v>0</v>
      </c>
      <c r="AB22" s="124">
        <v>0</v>
      </c>
      <c r="AC22" s="124">
        <v>0</v>
      </c>
      <c r="AD22" s="124">
        <v>0</v>
      </c>
      <c r="AE22" s="124">
        <v>0</v>
      </c>
      <c r="AF22" s="124">
        <v>0</v>
      </c>
      <c r="AG22" s="124">
        <v>0</v>
      </c>
      <c r="AH22" s="124">
        <v>0</v>
      </c>
      <c r="AI22" s="124">
        <v>0</v>
      </c>
      <c r="AJ22" s="124">
        <v>0</v>
      </c>
      <c r="AK22" s="124">
        <v>0</v>
      </c>
      <c r="AL22" s="124">
        <v>0</v>
      </c>
      <c r="AM22" s="124">
        <v>0</v>
      </c>
      <c r="AN22" s="124">
        <v>0</v>
      </c>
      <c r="AO22" s="124">
        <v>0</v>
      </c>
      <c r="AP22" s="124">
        <v>0</v>
      </c>
      <c r="AQ22" s="124">
        <v>0</v>
      </c>
      <c r="AR22" s="124">
        <v>0</v>
      </c>
      <c r="AS22" s="124">
        <v>0</v>
      </c>
      <c r="AT22" s="124">
        <v>0</v>
      </c>
      <c r="AU22" s="124">
        <v>0</v>
      </c>
      <c r="AV22" s="124">
        <v>0</v>
      </c>
      <c r="AW22" s="124">
        <v>0</v>
      </c>
      <c r="AX22" s="124">
        <v>0</v>
      </c>
      <c r="AY22" s="124">
        <v>0</v>
      </c>
      <c r="AZ22" s="124">
        <v>0</v>
      </c>
      <c r="BA22" s="124">
        <v>0</v>
      </c>
      <c r="BB22" s="124">
        <v>0</v>
      </c>
      <c r="BC22" s="124">
        <v>0</v>
      </c>
      <c r="BD22" s="124">
        <v>0</v>
      </c>
      <c r="BE22" s="124">
        <v>0</v>
      </c>
      <c r="BF22" s="124">
        <v>0</v>
      </c>
      <c r="BG22" s="124">
        <v>0</v>
      </c>
      <c r="BH22" s="124">
        <v>0</v>
      </c>
      <c r="BI22" s="124">
        <v>0</v>
      </c>
      <c r="BJ22" s="124">
        <v>0</v>
      </c>
      <c r="BK22" s="124">
        <v>0</v>
      </c>
      <c r="BL22" s="124">
        <v>0</v>
      </c>
      <c r="BM22" s="124">
        <v>0</v>
      </c>
      <c r="BN22" s="124">
        <v>0</v>
      </c>
      <c r="BO22" s="124">
        <v>0</v>
      </c>
      <c r="BP22" s="124">
        <v>0</v>
      </c>
      <c r="BQ22" s="124">
        <v>0</v>
      </c>
      <c r="BR22" s="124">
        <v>0</v>
      </c>
      <c r="BS22" s="124">
        <v>0</v>
      </c>
      <c r="BT22" s="124">
        <v>0</v>
      </c>
      <c r="BU22" s="124">
        <v>0</v>
      </c>
      <c r="BV22" s="124">
        <v>0</v>
      </c>
      <c r="BW22" s="124">
        <v>0</v>
      </c>
      <c r="BX22" s="124">
        <v>0</v>
      </c>
      <c r="BY22" s="124">
        <v>0</v>
      </c>
    </row>
    <row r="23" spans="1:77" s="24" customFormat="1" ht="15" customHeight="1" x14ac:dyDescent="0.3">
      <c r="A23" s="104"/>
      <c r="B23" s="104"/>
      <c r="C23" s="104"/>
      <c r="D23" s="105"/>
      <c r="E23" s="106">
        <f t="shared" si="4"/>
        <v>12</v>
      </c>
      <c r="F23" s="107">
        <f>IF(Type&lt;&gt;"",IF(ROW(stage_id)=ROW($F$10)+2,1,IF(Type="S",MAX(prev_col_range)+1,MAX(prev_col_range))),-1)</f>
        <v>2</v>
      </c>
      <c r="G23" s="108">
        <f>_xlfn.IFNA(IF(OR(Type="T",Type="M"),MATCH(K23,הגדרות!$L$7:$L$14,0),-1),-1)</f>
        <v>-1</v>
      </c>
      <c r="H23" s="109" t="s">
        <v>73</v>
      </c>
      <c r="I23" s="110" t="s">
        <v>90</v>
      </c>
      <c r="J23" s="105"/>
      <c r="K23" s="111" t="str">
        <f>_xlfn.IFNA(INDEX(הגדרות!$S$7:$S$40,MATCH(TeamMemeber,הגדרות!$Q$7:$Q$40,0)),"")</f>
        <v/>
      </c>
      <c r="L23" s="110"/>
      <c r="M23" s="112"/>
      <c r="N23" s="113"/>
      <c r="O23" s="114"/>
      <c r="P23" s="115">
        <f>E22</f>
        <v>11</v>
      </c>
      <c r="Q23" s="116" t="str">
        <f t="shared" si="5"/>
        <v>↖</v>
      </c>
      <c r="R23" s="117" t="str" cm="1">
        <f t="array" ref="R23">IFERROR("("&amp;d.type&amp;") "&amp;IF(LEN(d.name)&gt;7,LEFT(d.name,7)&amp;"…",d.name),"")</f>
        <v>(T) בדיקות …</v>
      </c>
      <c r="S23" s="118" t="s">
        <v>76</v>
      </c>
      <c r="T23" s="112"/>
      <c r="U23" s="119">
        <v>0</v>
      </c>
      <c r="V23" s="120" cm="1">
        <f t="array" ref="V23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46015</v>
      </c>
      <c r="W23" s="114" cm="1">
        <f t="array" ref="W23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46015</v>
      </c>
      <c r="X23" s="121">
        <v>46015</v>
      </c>
      <c r="Y23" s="122">
        <v>46015</v>
      </c>
      <c r="Z23" s="123"/>
      <c r="AA23" s="124">
        <v>0</v>
      </c>
      <c r="AB23" s="124">
        <v>0</v>
      </c>
      <c r="AC23" s="124">
        <v>0</v>
      </c>
      <c r="AD23" s="124">
        <v>0</v>
      </c>
      <c r="AE23" s="124">
        <v>0</v>
      </c>
      <c r="AF23" s="124">
        <v>0</v>
      </c>
      <c r="AG23" s="124">
        <v>0</v>
      </c>
      <c r="AH23" s="124">
        <v>0</v>
      </c>
      <c r="AI23" s="124">
        <v>0</v>
      </c>
      <c r="AJ23" s="124">
        <v>0</v>
      </c>
      <c r="AK23" s="124">
        <v>0</v>
      </c>
      <c r="AL23" s="124">
        <v>0</v>
      </c>
      <c r="AM23" s="124">
        <v>0</v>
      </c>
      <c r="AN23" s="124">
        <v>0</v>
      </c>
      <c r="AO23" s="124">
        <v>0</v>
      </c>
      <c r="AP23" s="124">
        <v>0</v>
      </c>
      <c r="AQ23" s="124">
        <v>0</v>
      </c>
      <c r="AR23" s="124">
        <v>0</v>
      </c>
      <c r="AS23" s="124">
        <v>0</v>
      </c>
      <c r="AT23" s="124">
        <v>0</v>
      </c>
      <c r="AU23" s="124">
        <v>0</v>
      </c>
      <c r="AV23" s="124">
        <v>0</v>
      </c>
      <c r="AW23" s="124">
        <v>0</v>
      </c>
      <c r="AX23" s="124">
        <v>0</v>
      </c>
      <c r="AY23" s="124">
        <v>0</v>
      </c>
      <c r="AZ23" s="124">
        <v>0</v>
      </c>
      <c r="BA23" s="124">
        <v>0</v>
      </c>
      <c r="BB23" s="124">
        <v>0</v>
      </c>
      <c r="BC23" s="124">
        <v>0</v>
      </c>
      <c r="BD23" s="124">
        <v>0</v>
      </c>
      <c r="BE23" s="124">
        <v>0</v>
      </c>
      <c r="BF23" s="124">
        <v>0</v>
      </c>
      <c r="BG23" s="124">
        <v>0</v>
      </c>
      <c r="BH23" s="124">
        <v>0</v>
      </c>
      <c r="BI23" s="124">
        <v>0</v>
      </c>
      <c r="BJ23" s="124">
        <v>0</v>
      </c>
      <c r="BK23" s="124">
        <v>0</v>
      </c>
      <c r="BL23" s="124">
        <v>0</v>
      </c>
      <c r="BM23" s="124">
        <v>0</v>
      </c>
      <c r="BN23" s="124">
        <v>0</v>
      </c>
      <c r="BO23" s="124">
        <v>0</v>
      </c>
      <c r="BP23" s="124">
        <v>0</v>
      </c>
      <c r="BQ23" s="124">
        <v>0</v>
      </c>
      <c r="BR23" s="124">
        <v>0</v>
      </c>
      <c r="BS23" s="124">
        <v>0</v>
      </c>
      <c r="BT23" s="124">
        <v>0</v>
      </c>
      <c r="BU23" s="124">
        <v>0</v>
      </c>
      <c r="BV23" s="124">
        <v>0</v>
      </c>
      <c r="BW23" s="124">
        <v>0</v>
      </c>
      <c r="BX23" s="124">
        <v>0</v>
      </c>
      <c r="BY23" s="124">
        <v>0</v>
      </c>
    </row>
    <row r="24" spans="1:77" s="24" customFormat="1" ht="15" customHeight="1" x14ac:dyDescent="0.3">
      <c r="A24" s="104"/>
      <c r="B24" s="104"/>
      <c r="C24" s="104"/>
      <c r="D24" s="105"/>
      <c r="E24" s="106">
        <f t="shared" si="4"/>
        <v>13</v>
      </c>
      <c r="F24" s="107">
        <f>IF(Type&lt;&gt;"",IF(ROW(stage_id)=ROW($F$10)+2,1,IF(Type="S",MAX(prev_col_range)+1,MAX(prev_col_range))),-1)</f>
        <v>3</v>
      </c>
      <c r="G24" s="108">
        <f>_xlfn.IFNA(IF(OR(Type="T",Type="M"),MATCH(K24,הגדרות!$L$7:$L$14,0),-1),-1)</f>
        <v>-1</v>
      </c>
      <c r="H24" s="109" t="s">
        <v>71</v>
      </c>
      <c r="I24" s="110" t="s">
        <v>74</v>
      </c>
      <c r="J24" s="105"/>
      <c r="K24" s="111" t="str">
        <f>_xlfn.IFNA(INDEX(הגדרות!$S$7:$S$40,MATCH(TeamMemeber,הגדרות!$Q$7:$Q$40,0)),"")</f>
        <v/>
      </c>
      <c r="L24" s="110"/>
      <c r="M24" s="112"/>
      <c r="N24" s="113">
        <f>MIN(V25:V27)</f>
        <v>46009</v>
      </c>
      <c r="O24" s="114"/>
      <c r="P24" s="115"/>
      <c r="Q24" s="116" t="str">
        <f t="shared" si="5"/>
        <v/>
      </c>
      <c r="R24" s="117" t="str" cm="1">
        <f t="array" ref="R24">IFERROR("("&amp;d.type&amp;") "&amp;IF(LEN(d.name)&gt;7,LEFT(d.name,7)&amp;"…",d.name),"")</f>
        <v/>
      </c>
      <c r="S24" s="118"/>
      <c r="T24" s="112"/>
      <c r="U24" s="119"/>
      <c r="V24" s="120" cm="1">
        <f t="array" ref="V24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46009</v>
      </c>
      <c r="W24" s="114" cm="1">
        <f t="array" ref="W24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46009</v>
      </c>
      <c r="X24" s="121">
        <v>46009</v>
      </c>
      <c r="Y24" s="122">
        <v>46009</v>
      </c>
      <c r="Z24" s="123" cm="1">
        <f t="array" ref="Z24">SUM(Z25:Z27*U25:U27)/SUM(U25:U27)</f>
        <v>0</v>
      </c>
      <c r="AA24" s="124">
        <v>0</v>
      </c>
      <c r="AB24" s="124">
        <v>0</v>
      </c>
      <c r="AC24" s="124">
        <v>0</v>
      </c>
      <c r="AD24" s="124">
        <v>0</v>
      </c>
      <c r="AE24" s="124">
        <v>0</v>
      </c>
      <c r="AF24" s="124">
        <v>0</v>
      </c>
      <c r="AG24" s="124">
        <v>0</v>
      </c>
      <c r="AH24" s="124">
        <v>0</v>
      </c>
      <c r="AI24" s="124">
        <v>0</v>
      </c>
      <c r="AJ24" s="124">
        <v>0</v>
      </c>
      <c r="AK24" s="124">
        <v>0</v>
      </c>
      <c r="AL24" s="124">
        <v>0</v>
      </c>
      <c r="AM24" s="124">
        <v>0</v>
      </c>
      <c r="AN24" s="124">
        <v>0</v>
      </c>
      <c r="AO24" s="124">
        <v>0</v>
      </c>
      <c r="AP24" s="124">
        <v>0</v>
      </c>
      <c r="AQ24" s="124">
        <v>0</v>
      </c>
      <c r="AR24" s="124">
        <v>0</v>
      </c>
      <c r="AS24" s="124">
        <v>0</v>
      </c>
      <c r="AT24" s="124">
        <v>0</v>
      </c>
      <c r="AU24" s="124">
        <v>0</v>
      </c>
      <c r="AV24" s="124">
        <v>0</v>
      </c>
      <c r="AW24" s="124">
        <v>0</v>
      </c>
      <c r="AX24" s="124">
        <v>0</v>
      </c>
      <c r="AY24" s="124">
        <v>0</v>
      </c>
      <c r="AZ24" s="124">
        <v>0</v>
      </c>
      <c r="BA24" s="124">
        <v>0</v>
      </c>
      <c r="BB24" s="124">
        <v>0</v>
      </c>
      <c r="BC24" s="124">
        <v>0</v>
      </c>
      <c r="BD24" s="124">
        <v>0</v>
      </c>
      <c r="BE24" s="124">
        <v>0</v>
      </c>
      <c r="BF24" s="124">
        <v>0</v>
      </c>
      <c r="BG24" s="124">
        <v>0</v>
      </c>
      <c r="BH24" s="124">
        <v>0</v>
      </c>
      <c r="BI24" s="124">
        <v>0</v>
      </c>
      <c r="BJ24" s="124">
        <v>0</v>
      </c>
      <c r="BK24" s="124">
        <v>0</v>
      </c>
      <c r="BL24" s="124">
        <v>0</v>
      </c>
      <c r="BM24" s="124">
        <v>0</v>
      </c>
      <c r="BN24" s="124">
        <v>0</v>
      </c>
      <c r="BO24" s="124">
        <v>0</v>
      </c>
      <c r="BP24" s="124">
        <v>0</v>
      </c>
      <c r="BQ24" s="124">
        <v>0</v>
      </c>
      <c r="BR24" s="124">
        <v>0</v>
      </c>
      <c r="BS24" s="124">
        <v>0</v>
      </c>
      <c r="BT24" s="124">
        <v>0</v>
      </c>
      <c r="BU24" s="124">
        <v>0</v>
      </c>
      <c r="BV24" s="124">
        <v>0</v>
      </c>
      <c r="BW24" s="124">
        <v>0</v>
      </c>
      <c r="BX24" s="124">
        <v>0</v>
      </c>
      <c r="BY24" s="124">
        <v>0</v>
      </c>
    </row>
    <row r="25" spans="1:77" s="24" customFormat="1" ht="15" customHeight="1" x14ac:dyDescent="0.3">
      <c r="A25" s="104"/>
      <c r="B25" s="104"/>
      <c r="C25" s="104"/>
      <c r="D25" s="105"/>
      <c r="E25" s="106">
        <f t="shared" si="4"/>
        <v>14</v>
      </c>
      <c r="F25" s="107">
        <f>IF(Type&lt;&gt;"",IF(ROW(stage_id)=ROW($F$10)+2,1,IF(Type="S",MAX(prev_col_range)+1,MAX(prev_col_range))),-1)</f>
        <v>3</v>
      </c>
      <c r="G25" s="108">
        <f>_xlfn.IFNA(IF(OR(Type="T",Type="M"),MATCH(K25,הגדרות!$L$7:$L$14,0),-1),-1)</f>
        <v>3</v>
      </c>
      <c r="H25" s="109" t="s">
        <v>72</v>
      </c>
      <c r="I25" s="110" t="s">
        <v>91</v>
      </c>
      <c r="J25" s="105"/>
      <c r="K25" s="111" t="str">
        <f>_xlfn.IFNA(INDEX(הגדרות!$S$7:$S$40,MATCH(TeamMemeber,הגדרות!$Q$7:$Q$40,0)),"")</f>
        <v>AP</v>
      </c>
      <c r="L25" s="110" t="s">
        <v>61</v>
      </c>
      <c r="M25" s="112"/>
      <c r="N25" s="113"/>
      <c r="O25" s="114"/>
      <c r="P25" s="115">
        <f>E23</f>
        <v>12</v>
      </c>
      <c r="Q25" s="116" t="str">
        <f t="shared" si="5"/>
        <v>↖</v>
      </c>
      <c r="R25" s="117" t="str" cm="1">
        <f t="array" ref="R25">IFERROR("("&amp;d.type&amp;") "&amp;IF(LEN(d.name)&gt;7,LEFT(d.name,7)&amp;"…",d.name),"")</f>
        <v>(M) סיכום ש…</v>
      </c>
      <c r="S25" s="118" t="s">
        <v>78</v>
      </c>
      <c r="T25" s="112"/>
      <c r="U25" s="119">
        <v>4</v>
      </c>
      <c r="V25" s="120" cm="1">
        <f t="array" ref="V25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46009</v>
      </c>
      <c r="W25" s="114" cm="1">
        <f t="array" ref="W25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46014</v>
      </c>
      <c r="X25" s="121">
        <v>46009</v>
      </c>
      <c r="Y25" s="122">
        <v>46014</v>
      </c>
      <c r="Z25" s="123"/>
      <c r="AA25" s="124">
        <v>0</v>
      </c>
      <c r="AB25" s="124">
        <v>0</v>
      </c>
      <c r="AC25" s="124">
        <v>0</v>
      </c>
      <c r="AD25" s="124">
        <v>0</v>
      </c>
      <c r="AE25" s="124">
        <v>0</v>
      </c>
      <c r="AF25" s="124">
        <v>0</v>
      </c>
      <c r="AG25" s="124">
        <v>0</v>
      </c>
      <c r="AH25" s="124">
        <v>0</v>
      </c>
      <c r="AI25" s="124">
        <v>0</v>
      </c>
      <c r="AJ25" s="124">
        <v>0</v>
      </c>
      <c r="AK25" s="124">
        <v>0</v>
      </c>
      <c r="AL25" s="124">
        <v>0</v>
      </c>
      <c r="AM25" s="124">
        <v>0</v>
      </c>
      <c r="AN25" s="124">
        <v>0</v>
      </c>
      <c r="AO25" s="124">
        <v>0</v>
      </c>
      <c r="AP25" s="124">
        <v>0</v>
      </c>
      <c r="AQ25" s="124">
        <v>0</v>
      </c>
      <c r="AR25" s="124">
        <v>0</v>
      </c>
      <c r="AS25" s="124">
        <v>0</v>
      </c>
      <c r="AT25" s="124">
        <v>0</v>
      </c>
      <c r="AU25" s="124">
        <v>0</v>
      </c>
      <c r="AV25" s="124">
        <v>0</v>
      </c>
      <c r="AW25" s="124">
        <v>0</v>
      </c>
      <c r="AX25" s="124">
        <v>0</v>
      </c>
      <c r="AY25" s="124">
        <v>0</v>
      </c>
      <c r="AZ25" s="124">
        <v>0</v>
      </c>
      <c r="BA25" s="124">
        <v>0</v>
      </c>
      <c r="BB25" s="124">
        <v>0</v>
      </c>
      <c r="BC25" s="124">
        <v>0</v>
      </c>
      <c r="BD25" s="124">
        <v>0</v>
      </c>
      <c r="BE25" s="124">
        <v>0</v>
      </c>
      <c r="BF25" s="124">
        <v>0</v>
      </c>
      <c r="BG25" s="124">
        <v>0</v>
      </c>
      <c r="BH25" s="124">
        <v>0</v>
      </c>
      <c r="BI25" s="124">
        <v>0</v>
      </c>
      <c r="BJ25" s="124">
        <v>0</v>
      </c>
      <c r="BK25" s="124">
        <v>0</v>
      </c>
      <c r="BL25" s="124">
        <v>0</v>
      </c>
      <c r="BM25" s="124">
        <v>0</v>
      </c>
      <c r="BN25" s="124">
        <v>0</v>
      </c>
      <c r="BO25" s="124">
        <v>0</v>
      </c>
      <c r="BP25" s="124">
        <v>0</v>
      </c>
      <c r="BQ25" s="124">
        <v>0</v>
      </c>
      <c r="BR25" s="124">
        <v>0</v>
      </c>
      <c r="BS25" s="124">
        <v>0</v>
      </c>
      <c r="BT25" s="124">
        <v>0</v>
      </c>
      <c r="BU25" s="124">
        <v>0</v>
      </c>
      <c r="BV25" s="124">
        <v>0</v>
      </c>
      <c r="BW25" s="124">
        <v>0</v>
      </c>
      <c r="BX25" s="124">
        <v>0</v>
      </c>
      <c r="BY25" s="124">
        <v>0</v>
      </c>
    </row>
    <row r="26" spans="1:77" s="24" customFormat="1" ht="15" customHeight="1" x14ac:dyDescent="0.3">
      <c r="A26" s="104"/>
      <c r="B26" s="104"/>
      <c r="C26" s="104"/>
      <c r="D26" s="105"/>
      <c r="E26" s="106">
        <f t="shared" si="4"/>
        <v>15</v>
      </c>
      <c r="F26" s="107">
        <f>IF(Type&lt;&gt;"",IF(ROW(stage_id)=ROW($F$10)+2,1,IF(Type="S",MAX(prev_col_range)+1,MAX(prev_col_range))),-1)</f>
        <v>3</v>
      </c>
      <c r="G26" s="108">
        <f>_xlfn.IFNA(IF(OR(Type="T",Type="M"),MATCH(K26,הגדרות!$L$7:$L$14,0),-1),-1)</f>
        <v>2</v>
      </c>
      <c r="H26" s="109" t="s">
        <v>72</v>
      </c>
      <c r="I26" s="110" t="s">
        <v>92</v>
      </c>
      <c r="J26" s="105"/>
      <c r="K26" s="111" t="str">
        <f>_xlfn.IFNA(INDEX(הגדרות!$S$7:$S$40,MATCH(TeamMemeber,הגדרות!$Q$7:$Q$40,0)),"")</f>
        <v>SM</v>
      </c>
      <c r="L26" s="110" t="s">
        <v>60</v>
      </c>
      <c r="M26" s="112" t="s">
        <v>14</v>
      </c>
      <c r="N26" s="113"/>
      <c r="O26" s="114"/>
      <c r="P26" s="115">
        <f>E25</f>
        <v>14</v>
      </c>
      <c r="Q26" s="116" t="str">
        <f t="shared" si="5"/>
        <v>↖</v>
      </c>
      <c r="R26" s="117" t="str" cm="1">
        <f t="array" ref="R26">IFERROR("("&amp;d.type&amp;") "&amp;IF(LEN(d.name)&gt;7,LEFT(d.name,7)&amp;"…",d.name),"")</f>
        <v>(T) פיתוח נ…</v>
      </c>
      <c r="S26" s="118" t="s">
        <v>75</v>
      </c>
      <c r="T26" s="112"/>
      <c r="U26" s="119">
        <v>2</v>
      </c>
      <c r="V26" s="120" cm="1">
        <f t="array" ref="V26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46015</v>
      </c>
      <c r="W26" s="114" cm="1">
        <f t="array" ref="W26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46016</v>
      </c>
      <c r="X26" s="121">
        <v>46015</v>
      </c>
      <c r="Y26" s="122">
        <v>46016</v>
      </c>
      <c r="Z26" s="123"/>
      <c r="AA26" s="124">
        <v>0</v>
      </c>
      <c r="AB26" s="124">
        <v>0</v>
      </c>
      <c r="AC26" s="124">
        <v>0</v>
      </c>
      <c r="AD26" s="124">
        <v>0</v>
      </c>
      <c r="AE26" s="124">
        <v>0</v>
      </c>
      <c r="AF26" s="124">
        <v>0</v>
      </c>
      <c r="AG26" s="124">
        <v>0</v>
      </c>
      <c r="AH26" s="124">
        <v>0</v>
      </c>
      <c r="AI26" s="124">
        <v>0</v>
      </c>
      <c r="AJ26" s="124">
        <v>0</v>
      </c>
      <c r="AK26" s="124">
        <v>0</v>
      </c>
      <c r="AL26" s="124">
        <v>0</v>
      </c>
      <c r="AM26" s="124">
        <v>0</v>
      </c>
      <c r="AN26" s="124">
        <v>0</v>
      </c>
      <c r="AO26" s="124">
        <v>0</v>
      </c>
      <c r="AP26" s="124">
        <v>0</v>
      </c>
      <c r="AQ26" s="124">
        <v>0</v>
      </c>
      <c r="AR26" s="124">
        <v>0</v>
      </c>
      <c r="AS26" s="124">
        <v>0</v>
      </c>
      <c r="AT26" s="124">
        <v>0</v>
      </c>
      <c r="AU26" s="124">
        <v>0</v>
      </c>
      <c r="AV26" s="124">
        <v>0</v>
      </c>
      <c r="AW26" s="124">
        <v>0</v>
      </c>
      <c r="AX26" s="124">
        <v>0</v>
      </c>
      <c r="AY26" s="124">
        <v>0</v>
      </c>
      <c r="AZ26" s="124">
        <v>0</v>
      </c>
      <c r="BA26" s="124">
        <v>0</v>
      </c>
      <c r="BB26" s="124">
        <v>0</v>
      </c>
      <c r="BC26" s="124">
        <v>0</v>
      </c>
      <c r="BD26" s="124">
        <v>0</v>
      </c>
      <c r="BE26" s="124">
        <v>0</v>
      </c>
      <c r="BF26" s="124">
        <v>0</v>
      </c>
      <c r="BG26" s="124">
        <v>0</v>
      </c>
      <c r="BH26" s="124">
        <v>0</v>
      </c>
      <c r="BI26" s="124">
        <v>0</v>
      </c>
      <c r="BJ26" s="124">
        <v>0</v>
      </c>
      <c r="BK26" s="124">
        <v>0</v>
      </c>
      <c r="BL26" s="124">
        <v>0</v>
      </c>
      <c r="BM26" s="124">
        <v>0</v>
      </c>
      <c r="BN26" s="124">
        <v>0</v>
      </c>
      <c r="BO26" s="124">
        <v>0</v>
      </c>
      <c r="BP26" s="124">
        <v>0</v>
      </c>
      <c r="BQ26" s="124">
        <v>0</v>
      </c>
      <c r="BR26" s="124">
        <v>0</v>
      </c>
      <c r="BS26" s="124">
        <v>0</v>
      </c>
      <c r="BT26" s="124">
        <v>0</v>
      </c>
      <c r="BU26" s="124">
        <v>0</v>
      </c>
      <c r="BV26" s="124">
        <v>0</v>
      </c>
      <c r="BW26" s="124">
        <v>0</v>
      </c>
      <c r="BX26" s="124">
        <v>0</v>
      </c>
      <c r="BY26" s="124">
        <v>0</v>
      </c>
    </row>
    <row r="27" spans="1:77" s="24" customFormat="1" ht="15" customHeight="1" x14ac:dyDescent="0.3">
      <c r="A27" s="104"/>
      <c r="B27" s="104"/>
      <c r="C27" s="104"/>
      <c r="D27" s="105"/>
      <c r="E27" s="106">
        <f t="shared" si="4"/>
        <v>16</v>
      </c>
      <c r="F27" s="107">
        <f>IF(Type&lt;&gt;"",IF(ROW(stage_id)=ROW($F$10)+2,1,IF(Type="S",MAX(prev_col_range)+1,MAX(prev_col_range))),-1)</f>
        <v>3</v>
      </c>
      <c r="G27" s="108">
        <f>_xlfn.IFNA(IF(OR(Type="T",Type="M"),MATCH(K27,הגדרות!$L$7:$L$14,0),-1),-1)</f>
        <v>1</v>
      </c>
      <c r="H27" s="109" t="s">
        <v>72</v>
      </c>
      <c r="I27" s="110" t="s">
        <v>93</v>
      </c>
      <c r="J27" s="105"/>
      <c r="K27" s="111" t="str">
        <f>_xlfn.IFNA(INDEX(הגדרות!$S$7:$S$40,MATCH(TeamMemeber,הגדרות!$Q$7:$Q$40,0)),"")</f>
        <v>PM</v>
      </c>
      <c r="L27" s="110" t="s">
        <v>58</v>
      </c>
      <c r="M27" s="112"/>
      <c r="N27" s="113"/>
      <c r="O27" s="114"/>
      <c r="P27" s="115">
        <f>E26</f>
        <v>15</v>
      </c>
      <c r="Q27" s="116" t="str">
        <f t="shared" si="5"/>
        <v>↖</v>
      </c>
      <c r="R27" s="117" t="str" cm="1">
        <f t="array" ref="R27">IFERROR("("&amp;d.type&amp;") "&amp;IF(LEN(d.name)&gt;7,LEFT(d.name,7)&amp;"…",d.name),"")</f>
        <v>(T) תקשורת …</v>
      </c>
      <c r="S27" s="118" t="s">
        <v>75</v>
      </c>
      <c r="T27" s="112"/>
      <c r="U27" s="119">
        <v>1</v>
      </c>
      <c r="V27" s="120" cm="1">
        <f t="array" ref="V27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46019</v>
      </c>
      <c r="W27" s="114" cm="1">
        <f t="array" ref="W27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46019</v>
      </c>
      <c r="X27" s="121">
        <v>46019</v>
      </c>
      <c r="Y27" s="122">
        <v>46019</v>
      </c>
      <c r="Z27" s="123"/>
      <c r="AA27" s="124">
        <v>0</v>
      </c>
      <c r="AB27" s="124">
        <v>0</v>
      </c>
      <c r="AC27" s="124">
        <v>0</v>
      </c>
      <c r="AD27" s="124">
        <v>0</v>
      </c>
      <c r="AE27" s="124">
        <v>0</v>
      </c>
      <c r="AF27" s="124">
        <v>0</v>
      </c>
      <c r="AG27" s="124">
        <v>0</v>
      </c>
      <c r="AH27" s="124">
        <v>0</v>
      </c>
      <c r="AI27" s="124">
        <v>0</v>
      </c>
      <c r="AJ27" s="124">
        <v>0</v>
      </c>
      <c r="AK27" s="124">
        <v>0</v>
      </c>
      <c r="AL27" s="124">
        <v>0</v>
      </c>
      <c r="AM27" s="124">
        <v>0</v>
      </c>
      <c r="AN27" s="124">
        <v>0</v>
      </c>
      <c r="AO27" s="124">
        <v>0</v>
      </c>
      <c r="AP27" s="124">
        <v>0</v>
      </c>
      <c r="AQ27" s="124">
        <v>0</v>
      </c>
      <c r="AR27" s="124">
        <v>0</v>
      </c>
      <c r="AS27" s="124">
        <v>0</v>
      </c>
      <c r="AT27" s="124">
        <v>0</v>
      </c>
      <c r="AU27" s="124">
        <v>0</v>
      </c>
      <c r="AV27" s="124">
        <v>0</v>
      </c>
      <c r="AW27" s="124">
        <v>0</v>
      </c>
      <c r="AX27" s="124">
        <v>0</v>
      </c>
      <c r="AY27" s="124">
        <v>0</v>
      </c>
      <c r="AZ27" s="124">
        <v>0</v>
      </c>
      <c r="BA27" s="124">
        <v>0</v>
      </c>
      <c r="BB27" s="124">
        <v>0</v>
      </c>
      <c r="BC27" s="124">
        <v>0</v>
      </c>
      <c r="BD27" s="124">
        <v>0</v>
      </c>
      <c r="BE27" s="124">
        <v>0</v>
      </c>
      <c r="BF27" s="124">
        <v>0</v>
      </c>
      <c r="BG27" s="124">
        <v>0</v>
      </c>
      <c r="BH27" s="124">
        <v>0</v>
      </c>
      <c r="BI27" s="124">
        <v>0</v>
      </c>
      <c r="BJ27" s="124">
        <v>0</v>
      </c>
      <c r="BK27" s="124">
        <v>0</v>
      </c>
      <c r="BL27" s="124">
        <v>0</v>
      </c>
      <c r="BM27" s="124">
        <v>0</v>
      </c>
      <c r="BN27" s="124">
        <v>0</v>
      </c>
      <c r="BO27" s="124">
        <v>0</v>
      </c>
      <c r="BP27" s="124">
        <v>0</v>
      </c>
      <c r="BQ27" s="124">
        <v>0</v>
      </c>
      <c r="BR27" s="124">
        <v>0</v>
      </c>
      <c r="BS27" s="124">
        <v>0</v>
      </c>
      <c r="BT27" s="124">
        <v>0</v>
      </c>
      <c r="BU27" s="124">
        <v>0</v>
      </c>
      <c r="BV27" s="124">
        <v>0</v>
      </c>
      <c r="BW27" s="124">
        <v>0</v>
      </c>
      <c r="BX27" s="124">
        <v>0</v>
      </c>
      <c r="BY27" s="124">
        <v>0</v>
      </c>
    </row>
    <row r="28" spans="1:77" s="24" customFormat="1" ht="15" customHeight="1" x14ac:dyDescent="0.3">
      <c r="A28" s="104"/>
      <c r="B28" s="104"/>
      <c r="C28" s="104"/>
      <c r="D28" s="105"/>
      <c r="E28" s="106">
        <f t="shared" si="4"/>
        <v>17</v>
      </c>
      <c r="F28" s="107">
        <f>IF(Type&lt;&gt;"",IF(ROW(stage_id)=ROW($F$10)+2,1,IF(Type="S",MAX(prev_col_range)+1,MAX(prev_col_range))),-1)</f>
        <v>4</v>
      </c>
      <c r="G28" s="108">
        <f>_xlfn.IFNA(IF(OR(Type="T",Type="M"),MATCH(K28,הגדרות!$L$7:$L$14,0),-1),-1)</f>
        <v>-1</v>
      </c>
      <c r="H28" s="109" t="s">
        <v>71</v>
      </c>
      <c r="I28" s="110" t="s">
        <v>94</v>
      </c>
      <c r="J28" s="105"/>
      <c r="K28" s="111" t="str">
        <f>_xlfn.IFNA(INDEX(הגדרות!$S$7:$S$40,MATCH(TeamMemeber,הגדרות!$Q$7:$Q$40,0)),"")</f>
        <v/>
      </c>
      <c r="L28" s="110"/>
      <c r="M28" s="112"/>
      <c r="N28" s="113">
        <f>MIN(V29:V32)</f>
        <v>46020</v>
      </c>
      <c r="O28" s="114"/>
      <c r="P28" s="115"/>
      <c r="Q28" s="116" t="str">
        <f t="shared" si="5"/>
        <v/>
      </c>
      <c r="R28" s="117" t="str" cm="1">
        <f t="array" ref="R28">IFERROR("("&amp;d.type&amp;") "&amp;IF(LEN(d.name)&gt;7,LEFT(d.name,7)&amp;"…",d.name),"")</f>
        <v/>
      </c>
      <c r="S28" s="118"/>
      <c r="T28" s="112"/>
      <c r="U28" s="119"/>
      <c r="V28" s="120" cm="1">
        <f t="array" ref="V28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46020</v>
      </c>
      <c r="W28" s="114" cm="1">
        <f t="array" ref="W28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46020</v>
      </c>
      <c r="X28" s="121">
        <v>46020</v>
      </c>
      <c r="Y28" s="122">
        <v>46020</v>
      </c>
      <c r="Z28" s="123" cm="1">
        <f t="array" ref="Z28">SUM(Z29:Z32*U29:U32)/SUM(U29:U32)</f>
        <v>0</v>
      </c>
      <c r="AA28" s="124">
        <v>0</v>
      </c>
      <c r="AB28" s="124">
        <v>0</v>
      </c>
      <c r="AC28" s="124">
        <v>0</v>
      </c>
      <c r="AD28" s="124">
        <v>0</v>
      </c>
      <c r="AE28" s="124">
        <v>0</v>
      </c>
      <c r="AF28" s="124">
        <v>0</v>
      </c>
      <c r="AG28" s="124">
        <v>0</v>
      </c>
      <c r="AH28" s="124">
        <v>0</v>
      </c>
      <c r="AI28" s="124">
        <v>0</v>
      </c>
      <c r="AJ28" s="124">
        <v>0</v>
      </c>
      <c r="AK28" s="124">
        <v>0</v>
      </c>
      <c r="AL28" s="124">
        <v>0</v>
      </c>
      <c r="AM28" s="124">
        <v>0</v>
      </c>
      <c r="AN28" s="124">
        <v>0</v>
      </c>
      <c r="AO28" s="124">
        <v>0</v>
      </c>
      <c r="AP28" s="124">
        <v>0</v>
      </c>
      <c r="AQ28" s="124">
        <v>0</v>
      </c>
      <c r="AR28" s="124">
        <v>0</v>
      </c>
      <c r="AS28" s="124">
        <v>0</v>
      </c>
      <c r="AT28" s="124">
        <v>0</v>
      </c>
      <c r="AU28" s="124">
        <v>0</v>
      </c>
      <c r="AV28" s="124">
        <v>0</v>
      </c>
      <c r="AW28" s="124">
        <v>0</v>
      </c>
      <c r="AX28" s="124">
        <v>0</v>
      </c>
      <c r="AY28" s="124">
        <v>0</v>
      </c>
      <c r="AZ28" s="124">
        <v>0</v>
      </c>
      <c r="BA28" s="124">
        <v>0</v>
      </c>
      <c r="BB28" s="124">
        <v>0</v>
      </c>
      <c r="BC28" s="124">
        <v>0</v>
      </c>
      <c r="BD28" s="124">
        <v>0</v>
      </c>
      <c r="BE28" s="124">
        <v>0</v>
      </c>
      <c r="BF28" s="124">
        <v>0</v>
      </c>
      <c r="BG28" s="124">
        <v>0</v>
      </c>
      <c r="BH28" s="124">
        <v>0</v>
      </c>
      <c r="BI28" s="124">
        <v>0</v>
      </c>
      <c r="BJ28" s="124">
        <v>0</v>
      </c>
      <c r="BK28" s="124">
        <v>0</v>
      </c>
      <c r="BL28" s="124">
        <v>0</v>
      </c>
      <c r="BM28" s="124">
        <v>0</v>
      </c>
      <c r="BN28" s="124">
        <v>0</v>
      </c>
      <c r="BO28" s="124">
        <v>0</v>
      </c>
      <c r="BP28" s="124">
        <v>0</v>
      </c>
      <c r="BQ28" s="124">
        <v>0</v>
      </c>
      <c r="BR28" s="124">
        <v>0</v>
      </c>
      <c r="BS28" s="124">
        <v>0</v>
      </c>
      <c r="BT28" s="124">
        <v>0</v>
      </c>
      <c r="BU28" s="124">
        <v>0</v>
      </c>
      <c r="BV28" s="124">
        <v>0</v>
      </c>
      <c r="BW28" s="124">
        <v>0</v>
      </c>
      <c r="BX28" s="124">
        <v>0</v>
      </c>
      <c r="BY28" s="124">
        <v>0</v>
      </c>
    </row>
    <row r="29" spans="1:77" s="24" customFormat="1" ht="15" customHeight="1" x14ac:dyDescent="0.3">
      <c r="A29" s="104"/>
      <c r="B29" s="104"/>
      <c r="C29" s="104"/>
      <c r="D29" s="105"/>
      <c r="E29" s="106">
        <f t="shared" si="4"/>
        <v>18</v>
      </c>
      <c r="F29" s="107">
        <f>IF(Type&lt;&gt;"",IF(ROW(stage_id)=ROW($F$10)+2,1,IF(Type="S",MAX(prev_col_range)+1,MAX(prev_col_range))),-1)</f>
        <v>4</v>
      </c>
      <c r="G29" s="108">
        <f>_xlfn.IFNA(IF(OR(Type="T",Type="M"),MATCH(K29,הגדרות!$L$7:$L$14,0),-1),-1)</f>
        <v>2</v>
      </c>
      <c r="H29" s="109" t="s">
        <v>72</v>
      </c>
      <c r="I29" s="110" t="s">
        <v>95</v>
      </c>
      <c r="J29" s="105"/>
      <c r="K29" s="111" t="str">
        <f>_xlfn.IFNA(INDEX(הגדרות!$S$7:$S$40,MATCH(TeamMemeber,הגדרות!$Q$7:$Q$40,0)),"")</f>
        <v>SM</v>
      </c>
      <c r="L29" s="110" t="s">
        <v>60</v>
      </c>
      <c r="M29" s="112"/>
      <c r="N29" s="113"/>
      <c r="O29" s="114"/>
      <c r="P29" s="115">
        <f>E27</f>
        <v>16</v>
      </c>
      <c r="Q29" s="116" t="str">
        <f t="shared" si="5"/>
        <v>↖</v>
      </c>
      <c r="R29" s="117" t="str" cm="1">
        <f t="array" ref="R29">IFERROR("("&amp;d.type&amp;") "&amp;IF(LEN(d.name)&gt;7,LEFT(d.name,7)&amp;"…",d.name),"")</f>
        <v>(T) הפקת תכ…</v>
      </c>
      <c r="S29" s="118" t="s">
        <v>75</v>
      </c>
      <c r="T29" s="112"/>
      <c r="U29" s="119">
        <v>2</v>
      </c>
      <c r="V29" s="120" cm="1">
        <f t="array" ref="V29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46020</v>
      </c>
      <c r="W29" s="114" cm="1">
        <f t="array" ref="W29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46021</v>
      </c>
      <c r="X29" s="121">
        <v>46020</v>
      </c>
      <c r="Y29" s="122">
        <v>46021</v>
      </c>
      <c r="Z29" s="123"/>
      <c r="AA29" s="124">
        <v>0</v>
      </c>
      <c r="AB29" s="124">
        <v>0</v>
      </c>
      <c r="AC29" s="124">
        <v>0</v>
      </c>
      <c r="AD29" s="124">
        <v>0</v>
      </c>
      <c r="AE29" s="124">
        <v>0</v>
      </c>
      <c r="AF29" s="124">
        <v>0</v>
      </c>
      <c r="AG29" s="124">
        <v>0</v>
      </c>
      <c r="AH29" s="124">
        <v>0</v>
      </c>
      <c r="AI29" s="124">
        <v>0</v>
      </c>
      <c r="AJ29" s="124">
        <v>0</v>
      </c>
      <c r="AK29" s="124">
        <v>0</v>
      </c>
      <c r="AL29" s="124">
        <v>0</v>
      </c>
      <c r="AM29" s="124">
        <v>0</v>
      </c>
      <c r="AN29" s="124">
        <v>0</v>
      </c>
      <c r="AO29" s="124">
        <v>0</v>
      </c>
      <c r="AP29" s="124">
        <v>0</v>
      </c>
      <c r="AQ29" s="124">
        <v>0</v>
      </c>
      <c r="AR29" s="124">
        <v>0</v>
      </c>
      <c r="AS29" s="124">
        <v>0</v>
      </c>
      <c r="AT29" s="124">
        <v>0</v>
      </c>
      <c r="AU29" s="124">
        <v>0</v>
      </c>
      <c r="AV29" s="124">
        <v>0</v>
      </c>
      <c r="AW29" s="124">
        <v>0</v>
      </c>
      <c r="AX29" s="124">
        <v>0</v>
      </c>
      <c r="AY29" s="124">
        <v>0</v>
      </c>
      <c r="AZ29" s="124">
        <v>0</v>
      </c>
      <c r="BA29" s="124">
        <v>0</v>
      </c>
      <c r="BB29" s="124">
        <v>0</v>
      </c>
      <c r="BC29" s="124">
        <v>0</v>
      </c>
      <c r="BD29" s="124">
        <v>0</v>
      </c>
      <c r="BE29" s="124">
        <v>0</v>
      </c>
      <c r="BF29" s="124">
        <v>0</v>
      </c>
      <c r="BG29" s="124">
        <v>0</v>
      </c>
      <c r="BH29" s="124">
        <v>0</v>
      </c>
      <c r="BI29" s="124">
        <v>0</v>
      </c>
      <c r="BJ29" s="124">
        <v>0</v>
      </c>
      <c r="BK29" s="124">
        <v>0</v>
      </c>
      <c r="BL29" s="124">
        <v>0</v>
      </c>
      <c r="BM29" s="124">
        <v>0</v>
      </c>
      <c r="BN29" s="124">
        <v>0</v>
      </c>
      <c r="BO29" s="124">
        <v>0</v>
      </c>
      <c r="BP29" s="124">
        <v>0</v>
      </c>
      <c r="BQ29" s="124">
        <v>0</v>
      </c>
      <c r="BR29" s="124">
        <v>0</v>
      </c>
      <c r="BS29" s="124">
        <v>0</v>
      </c>
      <c r="BT29" s="124">
        <v>0</v>
      </c>
      <c r="BU29" s="124">
        <v>0</v>
      </c>
      <c r="BV29" s="124">
        <v>0</v>
      </c>
      <c r="BW29" s="124">
        <v>0</v>
      </c>
      <c r="BX29" s="124">
        <v>0</v>
      </c>
      <c r="BY29" s="124">
        <v>0</v>
      </c>
    </row>
    <row r="30" spans="1:77" s="24" customFormat="1" ht="15" customHeight="1" x14ac:dyDescent="0.3">
      <c r="A30" s="104"/>
      <c r="B30" s="104"/>
      <c r="C30" s="104"/>
      <c r="D30" s="105"/>
      <c r="E30" s="106">
        <f t="shared" si="4"/>
        <v>19</v>
      </c>
      <c r="F30" s="107">
        <f>IF(Type&lt;&gt;"",IF(ROW(stage_id)=ROW($F$10)+2,1,IF(Type="S",MAX(prev_col_range)+1,MAX(prev_col_range))),-1)</f>
        <v>4</v>
      </c>
      <c r="G30" s="108">
        <f>_xlfn.IFNA(IF(OR(Type="T",Type="M"),MATCH(K30,הגדרות!$L$7:$L$14,0),-1),-1)</f>
        <v>3</v>
      </c>
      <c r="H30" s="109" t="s">
        <v>72</v>
      </c>
      <c r="I30" s="110" t="s">
        <v>96</v>
      </c>
      <c r="J30" s="105"/>
      <c r="K30" s="111" t="str">
        <f>_xlfn.IFNA(INDEX(הגדרות!$S$7:$S$40,MATCH(TeamMemeber,הגדרות!$Q$7:$Q$40,0)),"")</f>
        <v>AP</v>
      </c>
      <c r="L30" s="110" t="s">
        <v>61</v>
      </c>
      <c r="M30" s="112" t="s">
        <v>14</v>
      </c>
      <c r="N30" s="113"/>
      <c r="O30" s="114"/>
      <c r="P30" s="115">
        <f>E29</f>
        <v>18</v>
      </c>
      <c r="Q30" s="116" t="str">
        <f t="shared" si="5"/>
        <v>↖</v>
      </c>
      <c r="R30" s="117" t="str" cm="1">
        <f t="array" ref="R30">IFERROR("("&amp;d.type&amp;") "&amp;IF(LEN(d.name)&gt;7,LEFT(d.name,7)&amp;"…",d.name),"")</f>
        <v>(T) התקשרות…</v>
      </c>
      <c r="S30" s="118" t="s">
        <v>77</v>
      </c>
      <c r="T30" s="112"/>
      <c r="U30" s="119">
        <v>3</v>
      </c>
      <c r="V30" s="120" cm="1">
        <f t="array" ref="V30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46020</v>
      </c>
      <c r="W30" s="114" cm="1">
        <f t="array" ref="W30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46022</v>
      </c>
      <c r="X30" s="121">
        <v>46020</v>
      </c>
      <c r="Y30" s="122">
        <v>46022</v>
      </c>
      <c r="Z30" s="123"/>
      <c r="AA30" s="124">
        <v>0</v>
      </c>
      <c r="AB30" s="124">
        <v>0</v>
      </c>
      <c r="AC30" s="124">
        <v>0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124">
        <v>0</v>
      </c>
      <c r="AJ30" s="124">
        <v>0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  <c r="AP30" s="124">
        <v>0</v>
      </c>
      <c r="AQ30" s="124">
        <v>0</v>
      </c>
      <c r="AR30" s="124">
        <v>0</v>
      </c>
      <c r="AS30" s="124">
        <v>0</v>
      </c>
      <c r="AT30" s="124">
        <v>0</v>
      </c>
      <c r="AU30" s="124">
        <v>0</v>
      </c>
      <c r="AV30" s="124">
        <v>0</v>
      </c>
      <c r="AW30" s="124">
        <v>0</v>
      </c>
      <c r="AX30" s="124">
        <v>0</v>
      </c>
      <c r="AY30" s="124">
        <v>0</v>
      </c>
      <c r="AZ30" s="124">
        <v>0</v>
      </c>
      <c r="BA30" s="124">
        <v>0</v>
      </c>
      <c r="BB30" s="124">
        <v>0</v>
      </c>
      <c r="BC30" s="124">
        <v>0</v>
      </c>
      <c r="BD30" s="124">
        <v>0</v>
      </c>
      <c r="BE30" s="124">
        <v>0</v>
      </c>
      <c r="BF30" s="124">
        <v>0</v>
      </c>
      <c r="BG30" s="124">
        <v>0</v>
      </c>
      <c r="BH30" s="124">
        <v>0</v>
      </c>
      <c r="BI30" s="124">
        <v>0</v>
      </c>
      <c r="BJ30" s="124">
        <v>0</v>
      </c>
      <c r="BK30" s="124">
        <v>0</v>
      </c>
      <c r="BL30" s="124">
        <v>0</v>
      </c>
      <c r="BM30" s="124">
        <v>0</v>
      </c>
      <c r="BN30" s="124">
        <v>0</v>
      </c>
      <c r="BO30" s="124">
        <v>0</v>
      </c>
      <c r="BP30" s="124">
        <v>0</v>
      </c>
      <c r="BQ30" s="124">
        <v>0</v>
      </c>
      <c r="BR30" s="124">
        <v>0</v>
      </c>
      <c r="BS30" s="124">
        <v>0</v>
      </c>
      <c r="BT30" s="124">
        <v>0</v>
      </c>
      <c r="BU30" s="124">
        <v>0</v>
      </c>
      <c r="BV30" s="124">
        <v>0</v>
      </c>
      <c r="BW30" s="124">
        <v>0</v>
      </c>
      <c r="BX30" s="124">
        <v>0</v>
      </c>
      <c r="BY30" s="124">
        <v>0</v>
      </c>
    </row>
    <row r="31" spans="1:77" s="24" customFormat="1" ht="15" customHeight="1" x14ac:dyDescent="0.3">
      <c r="A31" s="104"/>
      <c r="B31" s="104"/>
      <c r="C31" s="104"/>
      <c r="D31" s="105"/>
      <c r="E31" s="106">
        <f t="shared" si="4"/>
        <v>20</v>
      </c>
      <c r="F31" s="107">
        <f>IF(Type&lt;&gt;"",IF(ROW(stage_id)=ROW($F$10)+2,1,IF(Type="S",MAX(prev_col_range)+1,MAX(prev_col_range))),-1)</f>
        <v>4</v>
      </c>
      <c r="G31" s="108">
        <f>_xlfn.IFNA(IF(OR(Type="T",Type="M"),MATCH(K31,הגדרות!$L$7:$L$14,0),-1),-1)</f>
        <v>4</v>
      </c>
      <c r="H31" s="109" t="s">
        <v>72</v>
      </c>
      <c r="I31" s="110" t="s">
        <v>97</v>
      </c>
      <c r="J31" s="105"/>
      <c r="K31" s="111" t="str">
        <f>_xlfn.IFNA(INDEX(הגדרות!$S$7:$S$40,MATCH(TeamMemeber,הגדרות!$Q$7:$Q$40,0)),"")</f>
        <v>DC</v>
      </c>
      <c r="L31" s="110" t="s">
        <v>62</v>
      </c>
      <c r="M31" s="112"/>
      <c r="N31" s="113"/>
      <c r="O31" s="114"/>
      <c r="P31" s="115">
        <f>E30</f>
        <v>19</v>
      </c>
      <c r="Q31" s="116" t="str">
        <f t="shared" si="5"/>
        <v>↖</v>
      </c>
      <c r="R31" s="117" t="str" cm="1">
        <f t="array" ref="R31">IFERROR("("&amp;d.type&amp;") "&amp;IF(LEN(d.name)&gt;7,LEFT(d.name,7)&amp;"…",d.name),"")</f>
        <v>(T) ניהול ק…</v>
      </c>
      <c r="S31" s="118" t="s">
        <v>77</v>
      </c>
      <c r="T31" s="112"/>
      <c r="U31" s="119">
        <v>2</v>
      </c>
      <c r="V31" s="120" cm="1">
        <f t="array" ref="V31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46020</v>
      </c>
      <c r="W31" s="114" cm="1">
        <f t="array" ref="W31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46021</v>
      </c>
      <c r="X31" s="121">
        <v>46020</v>
      </c>
      <c r="Y31" s="122">
        <v>46021</v>
      </c>
      <c r="Z31" s="123"/>
      <c r="AA31" s="124">
        <v>0</v>
      </c>
      <c r="AB31" s="124">
        <v>0</v>
      </c>
      <c r="AC31" s="124">
        <v>0</v>
      </c>
      <c r="AD31" s="124">
        <v>0</v>
      </c>
      <c r="AE31" s="124">
        <v>0</v>
      </c>
      <c r="AF31" s="124">
        <v>0</v>
      </c>
      <c r="AG31" s="124">
        <v>0</v>
      </c>
      <c r="AH31" s="124">
        <v>0</v>
      </c>
      <c r="AI31" s="124">
        <v>0</v>
      </c>
      <c r="AJ31" s="124">
        <v>0</v>
      </c>
      <c r="AK31" s="124">
        <v>0</v>
      </c>
      <c r="AL31" s="124">
        <v>0</v>
      </c>
      <c r="AM31" s="124">
        <v>0</v>
      </c>
      <c r="AN31" s="124">
        <v>0</v>
      </c>
      <c r="AO31" s="124">
        <v>0</v>
      </c>
      <c r="AP31" s="124">
        <v>0</v>
      </c>
      <c r="AQ31" s="124">
        <v>0</v>
      </c>
      <c r="AR31" s="124">
        <v>0</v>
      </c>
      <c r="AS31" s="124">
        <v>0</v>
      </c>
      <c r="AT31" s="124">
        <v>0</v>
      </c>
      <c r="AU31" s="124">
        <v>0</v>
      </c>
      <c r="AV31" s="124">
        <v>0</v>
      </c>
      <c r="AW31" s="124">
        <v>0</v>
      </c>
      <c r="AX31" s="124">
        <v>0</v>
      </c>
      <c r="AY31" s="124">
        <v>0</v>
      </c>
      <c r="AZ31" s="124">
        <v>0</v>
      </c>
      <c r="BA31" s="124">
        <v>0</v>
      </c>
      <c r="BB31" s="124">
        <v>0</v>
      </c>
      <c r="BC31" s="124">
        <v>0</v>
      </c>
      <c r="BD31" s="124">
        <v>0</v>
      </c>
      <c r="BE31" s="124">
        <v>0</v>
      </c>
      <c r="BF31" s="124">
        <v>0</v>
      </c>
      <c r="BG31" s="124">
        <v>0</v>
      </c>
      <c r="BH31" s="124">
        <v>0</v>
      </c>
      <c r="BI31" s="124">
        <v>0</v>
      </c>
      <c r="BJ31" s="124">
        <v>0</v>
      </c>
      <c r="BK31" s="124">
        <v>0</v>
      </c>
      <c r="BL31" s="124">
        <v>0</v>
      </c>
      <c r="BM31" s="124">
        <v>0</v>
      </c>
      <c r="BN31" s="124">
        <v>0</v>
      </c>
      <c r="BO31" s="124">
        <v>0</v>
      </c>
      <c r="BP31" s="124">
        <v>0</v>
      </c>
      <c r="BQ31" s="124">
        <v>0</v>
      </c>
      <c r="BR31" s="124">
        <v>0</v>
      </c>
      <c r="BS31" s="124">
        <v>0</v>
      </c>
      <c r="BT31" s="124">
        <v>0</v>
      </c>
      <c r="BU31" s="124">
        <v>0</v>
      </c>
      <c r="BV31" s="124">
        <v>0</v>
      </c>
      <c r="BW31" s="124">
        <v>0</v>
      </c>
      <c r="BX31" s="124">
        <v>0</v>
      </c>
      <c r="BY31" s="124">
        <v>0</v>
      </c>
    </row>
    <row r="32" spans="1:77" s="24" customFormat="1" ht="15" customHeight="1" x14ac:dyDescent="0.3">
      <c r="A32" s="104"/>
      <c r="B32" s="104"/>
      <c r="C32" s="104"/>
      <c r="D32" s="105"/>
      <c r="E32" s="106">
        <f t="shared" si="4"/>
        <v>21</v>
      </c>
      <c r="F32" s="107">
        <f>IF(Type&lt;&gt;"",IF(ROW(stage_id)=ROW($F$10)+2,1,IF(Type="S",MAX(prev_col_range)+1,MAX(prev_col_range))),-1)</f>
        <v>4</v>
      </c>
      <c r="G32" s="108">
        <f>_xlfn.IFNA(IF(OR(Type="T",Type="M"),MATCH(K32,הגדרות!$L$7:$L$14,0),-1),-1)</f>
        <v>-1</v>
      </c>
      <c r="H32" s="109" t="s">
        <v>73</v>
      </c>
      <c r="I32" s="110" t="s">
        <v>98</v>
      </c>
      <c r="J32" s="105"/>
      <c r="K32" s="111" t="str">
        <f>_xlfn.IFNA(INDEX(הגדרות!$S$7:$S$40,MATCH(TeamMemeber,הגדרות!$Q$7:$Q$40,0)),"")</f>
        <v/>
      </c>
      <c r="L32" s="110"/>
      <c r="M32" s="112"/>
      <c r="N32" s="113"/>
      <c r="O32" s="114"/>
      <c r="P32" s="115">
        <f>E31</f>
        <v>20</v>
      </c>
      <c r="Q32" s="116" t="str">
        <f t="shared" si="5"/>
        <v>↖</v>
      </c>
      <c r="R32" s="117" t="str" cm="1">
        <f t="array" ref="R32">IFERROR("("&amp;d.type&amp;") "&amp;IF(LEN(d.name)&gt;7,LEFT(d.name,7)&amp;"…",d.name),"")</f>
        <v>(T) ניהול ק…</v>
      </c>
      <c r="S32" s="118" t="s">
        <v>76</v>
      </c>
      <c r="T32" s="112"/>
      <c r="U32" s="119">
        <v>0</v>
      </c>
      <c r="V32" s="120" cm="1">
        <f t="array" ref="V32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>46021</v>
      </c>
      <c r="W32" s="114" cm="1">
        <f t="array" ref="W32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>46021</v>
      </c>
      <c r="X32" s="121">
        <v>46021</v>
      </c>
      <c r="Y32" s="122">
        <v>46021</v>
      </c>
      <c r="Z32" s="123"/>
      <c r="AA32" s="124">
        <v>0</v>
      </c>
      <c r="AB32" s="124">
        <v>0</v>
      </c>
      <c r="AC32" s="124">
        <v>0</v>
      </c>
      <c r="AD32" s="124">
        <v>0</v>
      </c>
      <c r="AE32" s="124">
        <v>0</v>
      </c>
      <c r="AF32" s="124">
        <v>0</v>
      </c>
      <c r="AG32" s="124">
        <v>0</v>
      </c>
      <c r="AH32" s="124">
        <v>0</v>
      </c>
      <c r="AI32" s="124">
        <v>0</v>
      </c>
      <c r="AJ32" s="124">
        <v>0</v>
      </c>
      <c r="AK32" s="124">
        <v>0</v>
      </c>
      <c r="AL32" s="124">
        <v>0</v>
      </c>
      <c r="AM32" s="124">
        <v>0</v>
      </c>
      <c r="AN32" s="124">
        <v>0</v>
      </c>
      <c r="AO32" s="124">
        <v>0</v>
      </c>
      <c r="AP32" s="124">
        <v>0</v>
      </c>
      <c r="AQ32" s="124">
        <v>0</v>
      </c>
      <c r="AR32" s="124">
        <v>0</v>
      </c>
      <c r="AS32" s="124">
        <v>0</v>
      </c>
      <c r="AT32" s="124">
        <v>0</v>
      </c>
      <c r="AU32" s="124">
        <v>0</v>
      </c>
      <c r="AV32" s="124">
        <v>0</v>
      </c>
      <c r="AW32" s="124">
        <v>0</v>
      </c>
      <c r="AX32" s="124">
        <v>0</v>
      </c>
      <c r="AY32" s="124">
        <v>0</v>
      </c>
      <c r="AZ32" s="124">
        <v>0</v>
      </c>
      <c r="BA32" s="124">
        <v>0</v>
      </c>
      <c r="BB32" s="124">
        <v>0</v>
      </c>
      <c r="BC32" s="124">
        <v>0</v>
      </c>
      <c r="BD32" s="124">
        <v>0</v>
      </c>
      <c r="BE32" s="124">
        <v>0</v>
      </c>
      <c r="BF32" s="124">
        <v>0</v>
      </c>
      <c r="BG32" s="124">
        <v>0</v>
      </c>
      <c r="BH32" s="124">
        <v>0</v>
      </c>
      <c r="BI32" s="124">
        <v>0</v>
      </c>
      <c r="BJ32" s="124">
        <v>0</v>
      </c>
      <c r="BK32" s="124">
        <v>0</v>
      </c>
      <c r="BL32" s="124">
        <v>0</v>
      </c>
      <c r="BM32" s="124">
        <v>0</v>
      </c>
      <c r="BN32" s="124">
        <v>0</v>
      </c>
      <c r="BO32" s="124">
        <v>0</v>
      </c>
      <c r="BP32" s="124">
        <v>0</v>
      </c>
      <c r="BQ32" s="124">
        <v>0</v>
      </c>
      <c r="BR32" s="124">
        <v>0</v>
      </c>
      <c r="BS32" s="124">
        <v>0</v>
      </c>
      <c r="BT32" s="124">
        <v>0</v>
      </c>
      <c r="BU32" s="124">
        <v>0</v>
      </c>
      <c r="BV32" s="124">
        <v>0</v>
      </c>
      <c r="BW32" s="124">
        <v>0</v>
      </c>
      <c r="BX32" s="124">
        <v>0</v>
      </c>
      <c r="BY32" s="124">
        <v>0</v>
      </c>
    </row>
    <row r="33" spans="1:77" s="24" customFormat="1" ht="15" customHeight="1" x14ac:dyDescent="0.3">
      <c r="A33" s="104"/>
      <c r="B33" s="104"/>
      <c r="C33" s="104"/>
      <c r="D33" s="105"/>
      <c r="E33" s="106">
        <f t="shared" si="4"/>
        <v>22</v>
      </c>
      <c r="F33" s="107">
        <f>IF(Type&lt;&gt;"",IF(ROW(stage_id)=ROW($F$10)+2,1,IF(Type="S",MAX(prev_col_range)+1,MAX(prev_col_range))),-1)</f>
        <v>-1</v>
      </c>
      <c r="G33" s="108">
        <f>_xlfn.IFNA(IF(OR(Type="T",Type="M"),MATCH(K33,הגדרות!$L$7:$L$14,0),-1),-1)</f>
        <v>-1</v>
      </c>
      <c r="H33" s="109"/>
      <c r="I33" s="110"/>
      <c r="J33" s="105"/>
      <c r="K33" s="111" t="str">
        <f>_xlfn.IFNA(INDEX(הגדרות!$S$7:$S$40,MATCH(TeamMemeber,הגדרות!$Q$7:$Q$40,0)),"")</f>
        <v/>
      </c>
      <c r="L33" s="110"/>
      <c r="M33" s="112"/>
      <c r="N33" s="113"/>
      <c r="O33" s="114"/>
      <c r="P33" s="115"/>
      <c r="Q33" s="116" t="str">
        <f t="shared" si="5"/>
        <v/>
      </c>
      <c r="R33" s="117" t="str" cm="1">
        <f t="array" ref="R33">IFERROR("("&amp;d.type&amp;") "&amp;IF(LEN(d.name)&gt;7,LEFT(d.name,7)&amp;"…",d.name),"")</f>
        <v/>
      </c>
      <c r="S33" s="118"/>
      <c r="T33" s="112"/>
      <c r="U33" s="119"/>
      <c r="V33" s="120" t="str" cm="1">
        <f t="array" ref="V33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/>
      </c>
      <c r="W33" s="114" t="str" cm="1">
        <f t="array" ref="W33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/>
      </c>
      <c r="X33" s="121"/>
      <c r="Y33" s="122"/>
      <c r="Z33" s="123"/>
      <c r="AA33" s="124">
        <v>0</v>
      </c>
      <c r="AB33" s="124">
        <v>0</v>
      </c>
      <c r="AC33" s="124">
        <v>0</v>
      </c>
      <c r="AD33" s="124">
        <v>0</v>
      </c>
      <c r="AE33" s="124">
        <v>0</v>
      </c>
      <c r="AF33" s="124">
        <v>0</v>
      </c>
      <c r="AG33" s="124">
        <v>0</v>
      </c>
      <c r="AH33" s="124">
        <v>0</v>
      </c>
      <c r="AI33" s="124">
        <v>0</v>
      </c>
      <c r="AJ33" s="124">
        <v>0</v>
      </c>
      <c r="AK33" s="124">
        <v>0</v>
      </c>
      <c r="AL33" s="124">
        <v>0</v>
      </c>
      <c r="AM33" s="124">
        <v>0</v>
      </c>
      <c r="AN33" s="124">
        <v>0</v>
      </c>
      <c r="AO33" s="124">
        <v>0</v>
      </c>
      <c r="AP33" s="124">
        <v>0</v>
      </c>
      <c r="AQ33" s="124">
        <v>0</v>
      </c>
      <c r="AR33" s="124">
        <v>0</v>
      </c>
      <c r="AS33" s="124">
        <v>0</v>
      </c>
      <c r="AT33" s="124">
        <v>0</v>
      </c>
      <c r="AU33" s="124">
        <v>0</v>
      </c>
      <c r="AV33" s="124">
        <v>0</v>
      </c>
      <c r="AW33" s="124">
        <v>0</v>
      </c>
      <c r="AX33" s="124">
        <v>0</v>
      </c>
      <c r="AY33" s="124">
        <v>0</v>
      </c>
      <c r="AZ33" s="124">
        <v>0</v>
      </c>
      <c r="BA33" s="124">
        <v>0</v>
      </c>
      <c r="BB33" s="124">
        <v>0</v>
      </c>
      <c r="BC33" s="124">
        <v>0</v>
      </c>
      <c r="BD33" s="124">
        <v>0</v>
      </c>
      <c r="BE33" s="124">
        <v>0</v>
      </c>
      <c r="BF33" s="124">
        <v>0</v>
      </c>
      <c r="BG33" s="124">
        <v>0</v>
      </c>
      <c r="BH33" s="124">
        <v>0</v>
      </c>
      <c r="BI33" s="124">
        <v>0</v>
      </c>
      <c r="BJ33" s="124">
        <v>0</v>
      </c>
      <c r="BK33" s="124">
        <v>0</v>
      </c>
      <c r="BL33" s="124">
        <v>0</v>
      </c>
      <c r="BM33" s="124">
        <v>0</v>
      </c>
      <c r="BN33" s="124">
        <v>0</v>
      </c>
      <c r="BO33" s="124">
        <v>0</v>
      </c>
      <c r="BP33" s="124">
        <v>0</v>
      </c>
      <c r="BQ33" s="124">
        <v>0</v>
      </c>
      <c r="BR33" s="124">
        <v>0</v>
      </c>
      <c r="BS33" s="124">
        <v>0</v>
      </c>
      <c r="BT33" s="124">
        <v>0</v>
      </c>
      <c r="BU33" s="124">
        <v>0</v>
      </c>
      <c r="BV33" s="124">
        <v>0</v>
      </c>
      <c r="BW33" s="124">
        <v>0</v>
      </c>
      <c r="BX33" s="124">
        <v>0</v>
      </c>
      <c r="BY33" s="124">
        <v>0</v>
      </c>
    </row>
    <row r="34" spans="1:77" s="24" customFormat="1" ht="15" customHeight="1" x14ac:dyDescent="0.3">
      <c r="A34" s="104"/>
      <c r="B34" s="104"/>
      <c r="C34" s="104"/>
      <c r="D34" s="105"/>
      <c r="E34" s="106">
        <f t="shared" si="4"/>
        <v>23</v>
      </c>
      <c r="F34" s="107">
        <f>IF(Type&lt;&gt;"",IF(ROW(stage_id)=ROW($F$10)+2,1,IF(Type="S",MAX(prev_col_range)+1,MAX(prev_col_range))),-1)</f>
        <v>-1</v>
      </c>
      <c r="G34" s="108">
        <f>_xlfn.IFNA(IF(OR(Type="T",Type="M"),MATCH(K34,הגדרות!$L$7:$L$14,0),-1),-1)</f>
        <v>-1</v>
      </c>
      <c r="H34" s="109"/>
      <c r="I34" s="110"/>
      <c r="J34" s="105"/>
      <c r="K34" s="111" t="str">
        <f>_xlfn.IFNA(INDEX(הגדרות!$S$7:$S$40,MATCH(TeamMemeber,הגדרות!$Q$7:$Q$40,0)),"")</f>
        <v/>
      </c>
      <c r="L34" s="110"/>
      <c r="M34" s="112"/>
      <c r="N34" s="113"/>
      <c r="O34" s="114"/>
      <c r="P34" s="115"/>
      <c r="Q34" s="116" t="str">
        <f t="shared" si="5"/>
        <v/>
      </c>
      <c r="R34" s="117" t="str" cm="1">
        <f t="array" ref="R34">IFERROR("("&amp;d.type&amp;") "&amp;IF(LEN(d.name)&gt;7,LEFT(d.name,7)&amp;"…",d.name),"")</f>
        <v/>
      </c>
      <c r="S34" s="118"/>
      <c r="T34" s="112"/>
      <c r="U34" s="119"/>
      <c r="V34" s="120" t="str" cm="1">
        <f t="array" ref="V34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/>
      </c>
      <c r="W34" s="114" t="str" cm="1">
        <f t="array" ref="W34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/>
      </c>
      <c r="X34" s="121"/>
      <c r="Y34" s="122"/>
      <c r="Z34" s="123"/>
      <c r="AA34" s="124">
        <v>0</v>
      </c>
      <c r="AB34" s="124">
        <v>0</v>
      </c>
      <c r="AC34" s="124">
        <v>0</v>
      </c>
      <c r="AD34" s="124">
        <v>0</v>
      </c>
      <c r="AE34" s="124">
        <v>0</v>
      </c>
      <c r="AF34" s="124">
        <v>0</v>
      </c>
      <c r="AG34" s="124">
        <v>0</v>
      </c>
      <c r="AH34" s="124">
        <v>0</v>
      </c>
      <c r="AI34" s="124">
        <v>0</v>
      </c>
      <c r="AJ34" s="124">
        <v>0</v>
      </c>
      <c r="AK34" s="124">
        <v>0</v>
      </c>
      <c r="AL34" s="124">
        <v>0</v>
      </c>
      <c r="AM34" s="124">
        <v>0</v>
      </c>
      <c r="AN34" s="124">
        <v>0</v>
      </c>
      <c r="AO34" s="124">
        <v>0</v>
      </c>
      <c r="AP34" s="124">
        <v>0</v>
      </c>
      <c r="AQ34" s="124">
        <v>0</v>
      </c>
      <c r="AR34" s="124">
        <v>0</v>
      </c>
      <c r="AS34" s="124">
        <v>0</v>
      </c>
      <c r="AT34" s="124">
        <v>0</v>
      </c>
      <c r="AU34" s="124">
        <v>0</v>
      </c>
      <c r="AV34" s="124">
        <v>0</v>
      </c>
      <c r="AW34" s="124">
        <v>0</v>
      </c>
      <c r="AX34" s="124">
        <v>0</v>
      </c>
      <c r="AY34" s="124">
        <v>0</v>
      </c>
      <c r="AZ34" s="124">
        <v>0</v>
      </c>
      <c r="BA34" s="124">
        <v>0</v>
      </c>
      <c r="BB34" s="124">
        <v>0</v>
      </c>
      <c r="BC34" s="124">
        <v>0</v>
      </c>
      <c r="BD34" s="124">
        <v>0</v>
      </c>
      <c r="BE34" s="124">
        <v>0</v>
      </c>
      <c r="BF34" s="124">
        <v>0</v>
      </c>
      <c r="BG34" s="124">
        <v>0</v>
      </c>
      <c r="BH34" s="124">
        <v>0</v>
      </c>
      <c r="BI34" s="124">
        <v>0</v>
      </c>
      <c r="BJ34" s="124">
        <v>0</v>
      </c>
      <c r="BK34" s="124">
        <v>0</v>
      </c>
      <c r="BL34" s="124">
        <v>0</v>
      </c>
      <c r="BM34" s="124">
        <v>0</v>
      </c>
      <c r="BN34" s="124">
        <v>0</v>
      </c>
      <c r="BO34" s="124">
        <v>0</v>
      </c>
      <c r="BP34" s="124">
        <v>0</v>
      </c>
      <c r="BQ34" s="124">
        <v>0</v>
      </c>
      <c r="BR34" s="124">
        <v>0</v>
      </c>
      <c r="BS34" s="124">
        <v>0</v>
      </c>
      <c r="BT34" s="124">
        <v>0</v>
      </c>
      <c r="BU34" s="124">
        <v>0</v>
      </c>
      <c r="BV34" s="124">
        <v>0</v>
      </c>
      <c r="BW34" s="124">
        <v>0</v>
      </c>
      <c r="BX34" s="124">
        <v>0</v>
      </c>
      <c r="BY34" s="124">
        <v>0</v>
      </c>
    </row>
    <row r="35" spans="1:77" s="24" customFormat="1" ht="15" customHeight="1" x14ac:dyDescent="0.3">
      <c r="A35" s="104"/>
      <c r="B35" s="104"/>
      <c r="C35" s="104"/>
      <c r="D35" s="105"/>
      <c r="E35" s="106">
        <f t="shared" si="4"/>
        <v>24</v>
      </c>
      <c r="F35" s="107">
        <f>IF(Type&lt;&gt;"",IF(ROW(stage_id)=ROW($F$10)+2,1,IF(Type="S",MAX(prev_col_range)+1,MAX(prev_col_range))),-1)</f>
        <v>-1</v>
      </c>
      <c r="G35" s="108">
        <f>_xlfn.IFNA(IF(OR(Type="T",Type="M"),MATCH(K35,הגדרות!$L$7:$L$14,0),-1),-1)</f>
        <v>-1</v>
      </c>
      <c r="H35" s="125"/>
      <c r="I35" s="126"/>
      <c r="J35" s="105"/>
      <c r="K35" s="111" t="str">
        <f>_xlfn.IFNA(INDEX(הגדרות!$S$7:$S$40,MATCH(TeamMemeber,הגדרות!$Q$7:$Q$40,0)),"")</f>
        <v/>
      </c>
      <c r="L35" s="126"/>
      <c r="M35" s="127"/>
      <c r="N35" s="128"/>
      <c r="O35" s="129"/>
      <c r="P35" s="130"/>
      <c r="Q35" s="116" t="str">
        <f t="shared" si="5"/>
        <v/>
      </c>
      <c r="R35" s="117" t="str" cm="1">
        <f t="array" ref="R35">IFERROR("("&amp;d.type&amp;") "&amp;IF(LEN(d.name)&gt;7,LEFT(d.name,7)&amp;"…",d.name),"")</f>
        <v/>
      </c>
      <c r="S35" s="131"/>
      <c r="T35" s="127"/>
      <c r="U35" s="132"/>
      <c r="V35" s="120" t="str" cm="1">
        <f t="array" ref="V35">IFERROR(IF(ind_start&gt;0,ind_start,
            IF(ind_end&lt;&gt;"",plan_start_calc,
                IF(d.id&lt;&gt;"",
                   IF(OR(d.conn="FS",d.conn=""),fs_calc,
                   IF(d.conn="SS",ss_calc,
                      plan_start_calc)),""))),"")</f>
        <v/>
      </c>
      <c r="W35" s="114" t="str" cm="1">
        <f t="array" ref="W35">IFERROR(IF(ind_start&lt;&gt;"",plan_end_calc,
            IF(ind_end&lt;&gt;"",ind_end,
               IF(d.id&lt;&gt;"",
                      IF(d.conn="SF",sf_calc,
                      IF(d.conn="FF",ff_calc,
                                plan_end_calc)),""))),"")</f>
        <v/>
      </c>
      <c r="X35" s="133"/>
      <c r="Y35" s="134"/>
      <c r="Z35" s="135"/>
      <c r="AA35" s="124">
        <v>0</v>
      </c>
      <c r="AB35" s="124">
        <v>0</v>
      </c>
      <c r="AC35" s="124">
        <v>0</v>
      </c>
      <c r="AD35" s="124">
        <v>0</v>
      </c>
      <c r="AE35" s="124">
        <v>0</v>
      </c>
      <c r="AF35" s="124">
        <v>0</v>
      </c>
      <c r="AG35" s="124">
        <v>0</v>
      </c>
      <c r="AH35" s="124">
        <v>0</v>
      </c>
      <c r="AI35" s="124">
        <v>0</v>
      </c>
      <c r="AJ35" s="124">
        <v>0</v>
      </c>
      <c r="AK35" s="124">
        <v>0</v>
      </c>
      <c r="AL35" s="124">
        <v>0</v>
      </c>
      <c r="AM35" s="124">
        <v>0</v>
      </c>
      <c r="AN35" s="124">
        <v>0</v>
      </c>
      <c r="AO35" s="124">
        <v>0</v>
      </c>
      <c r="AP35" s="124">
        <v>0</v>
      </c>
      <c r="AQ35" s="124">
        <v>0</v>
      </c>
      <c r="AR35" s="124">
        <v>0</v>
      </c>
      <c r="AS35" s="124">
        <v>0</v>
      </c>
      <c r="AT35" s="124">
        <v>0</v>
      </c>
      <c r="AU35" s="124">
        <v>0</v>
      </c>
      <c r="AV35" s="124">
        <v>0</v>
      </c>
      <c r="AW35" s="124">
        <v>0</v>
      </c>
      <c r="AX35" s="124">
        <v>0</v>
      </c>
      <c r="AY35" s="124">
        <v>0</v>
      </c>
      <c r="AZ35" s="124">
        <v>0</v>
      </c>
      <c r="BA35" s="124">
        <v>0</v>
      </c>
      <c r="BB35" s="124">
        <v>0</v>
      </c>
      <c r="BC35" s="124">
        <v>0</v>
      </c>
      <c r="BD35" s="124">
        <v>0</v>
      </c>
      <c r="BE35" s="124">
        <v>0</v>
      </c>
      <c r="BF35" s="124">
        <v>0</v>
      </c>
      <c r="BG35" s="124">
        <v>0</v>
      </c>
      <c r="BH35" s="124">
        <v>0</v>
      </c>
      <c r="BI35" s="124">
        <v>0</v>
      </c>
      <c r="BJ35" s="124">
        <v>0</v>
      </c>
      <c r="BK35" s="124">
        <v>0</v>
      </c>
      <c r="BL35" s="124">
        <v>0</v>
      </c>
      <c r="BM35" s="124">
        <v>0</v>
      </c>
      <c r="BN35" s="124">
        <v>0</v>
      </c>
      <c r="BO35" s="124">
        <v>0</v>
      </c>
      <c r="BP35" s="124">
        <v>0</v>
      </c>
      <c r="BQ35" s="124">
        <v>0</v>
      </c>
      <c r="BR35" s="124">
        <v>0</v>
      </c>
      <c r="BS35" s="124">
        <v>0</v>
      </c>
      <c r="BT35" s="124">
        <v>0</v>
      </c>
      <c r="BU35" s="124">
        <v>0</v>
      </c>
      <c r="BV35" s="124">
        <v>0</v>
      </c>
      <c r="BW35" s="124">
        <v>0</v>
      </c>
      <c r="BX35" s="124">
        <v>0</v>
      </c>
      <c r="BY35" s="124">
        <v>0</v>
      </c>
    </row>
    <row r="36" spans="1:77" ht="15" customHeight="1" x14ac:dyDescent="0.35">
      <c r="A36" s="42"/>
      <c r="B36" s="42"/>
      <c r="C36" s="4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136"/>
      <c r="Y36" s="136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</row>
  </sheetData>
  <mergeCells count="73">
    <mergeCell ref="BO7:BO9"/>
    <mergeCell ref="BI7:BI9"/>
    <mergeCell ref="AN7:AN9"/>
    <mergeCell ref="AH3:AM3"/>
    <mergeCell ref="AH4:AM4"/>
    <mergeCell ref="AO3:AT3"/>
    <mergeCell ref="AO4:AT4"/>
    <mergeCell ref="BD7:BD9"/>
    <mergeCell ref="BE7:BE9"/>
    <mergeCell ref="BF7:BF9"/>
    <mergeCell ref="BG7:BG9"/>
    <mergeCell ref="BH7:BH9"/>
    <mergeCell ref="AZ7:AZ9"/>
    <mergeCell ref="BA7:BA9"/>
    <mergeCell ref="BB7:BB9"/>
    <mergeCell ref="BK7:BK9"/>
    <mergeCell ref="BM7:BM9"/>
    <mergeCell ref="BC7:BC9"/>
    <mergeCell ref="AY7:AY9"/>
    <mergeCell ref="AF1:AH1"/>
    <mergeCell ref="AJ1:AL1"/>
    <mergeCell ref="AU7:AU9"/>
    <mergeCell ref="AV7:AV9"/>
    <mergeCell ref="AW7:AW9"/>
    <mergeCell ref="AA3:AF3"/>
    <mergeCell ref="AA4:AF4"/>
    <mergeCell ref="AI7:AI9"/>
    <mergeCell ref="AJ7:AJ9"/>
    <mergeCell ref="AK7:AK9"/>
    <mergeCell ref="AL7:AL9"/>
    <mergeCell ref="AM7:AM9"/>
    <mergeCell ref="AO7:AO9"/>
    <mergeCell ref="AP7:AP9"/>
    <mergeCell ref="AA1:AE1"/>
    <mergeCell ref="AQ1:AT1"/>
    <mergeCell ref="Q10:R10"/>
    <mergeCell ref="AA7:AA9"/>
    <mergeCell ref="AB7:AB9"/>
    <mergeCell ref="AC7:AC9"/>
    <mergeCell ref="AD7:AD9"/>
    <mergeCell ref="AT7:AT9"/>
    <mergeCell ref="AU1:AY1"/>
    <mergeCell ref="AE7:AE9"/>
    <mergeCell ref="E9:G9"/>
    <mergeCell ref="H9:M9"/>
    <mergeCell ref="N7:W7"/>
    <mergeCell ref="X7:Y7"/>
    <mergeCell ref="X8:Y8"/>
    <mergeCell ref="N8:W8"/>
    <mergeCell ref="X9:Y9"/>
    <mergeCell ref="N9:W9"/>
    <mergeCell ref="AQ7:AQ9"/>
    <mergeCell ref="AF7:AF9"/>
    <mergeCell ref="AG7:AG9"/>
    <mergeCell ref="AH7:AH9"/>
    <mergeCell ref="AR7:AR9"/>
    <mergeCell ref="AS7:AS9"/>
    <mergeCell ref="AV3:BA3"/>
    <mergeCell ref="AV4:BA4"/>
    <mergeCell ref="BY7:BY9"/>
    <mergeCell ref="BQ7:BQ9"/>
    <mergeCell ref="BR7:BR9"/>
    <mergeCell ref="BS7:BS9"/>
    <mergeCell ref="BT7:BT9"/>
    <mergeCell ref="BU7:BU9"/>
    <mergeCell ref="BV7:BV9"/>
    <mergeCell ref="BW7:BW9"/>
    <mergeCell ref="BX7:BX9"/>
    <mergeCell ref="BP7:BP9"/>
    <mergeCell ref="BN7:BN9"/>
    <mergeCell ref="AX7:AX9"/>
    <mergeCell ref="BJ7:BJ9"/>
    <mergeCell ref="BL7:BL9"/>
  </mergeCells>
  <phoneticPr fontId="16" type="noConversion"/>
  <conditionalFormatting sqref="E12:BY35">
    <cfRule type="expression" dxfId="64" priority="3">
      <formula>Type="S"</formula>
    </cfRule>
  </conditionalFormatting>
  <conditionalFormatting sqref="I12:I35">
    <cfRule type="expression" dxfId="63" priority="64">
      <formula>OR(Type="T",Type="M")</formula>
    </cfRule>
  </conditionalFormatting>
  <conditionalFormatting sqref="J12:J35">
    <cfRule type="expression" dxfId="62" priority="10" stopIfTrue="1">
      <formula>OR(color_code=901,color_code=902)</formula>
    </cfRule>
    <cfRule type="expression" dxfId="61" priority="34" stopIfTrue="1">
      <formula>color_code=201</formula>
    </cfRule>
    <cfRule type="expression" dxfId="60" priority="33" stopIfTrue="1">
      <formula>OR(color_code=102,color_code=103,color_code=104)</formula>
    </cfRule>
    <cfRule type="expression" dxfId="59" priority="32" stopIfTrue="1">
      <formula>color_code=101</formula>
    </cfRule>
    <cfRule type="expression" dxfId="58" priority="42" stopIfTrue="1">
      <formula>color_code=601</formula>
    </cfRule>
    <cfRule type="expression" dxfId="57" priority="35" stopIfTrue="1">
      <formula>OR(color_code=202,color_code=203,color_code=204)</formula>
    </cfRule>
    <cfRule type="expression" dxfId="56" priority="36" stopIfTrue="1">
      <formula>color_code=301</formula>
    </cfRule>
    <cfRule type="expression" dxfId="55" priority="37" stopIfTrue="1">
      <formula>OR(color_code=302,color_code=303,color_code=304)</formula>
    </cfRule>
    <cfRule type="expression" dxfId="54" priority="38" stopIfTrue="1">
      <formula>color_code=401</formula>
    </cfRule>
    <cfRule type="expression" dxfId="53" priority="39" stopIfTrue="1">
      <formula>OR(color_code=402,color_code=403,color_code=404)</formula>
    </cfRule>
    <cfRule type="expression" dxfId="52" priority="40" stopIfTrue="1">
      <formula>color_code=501</formula>
    </cfRule>
    <cfRule type="expression" dxfId="51" priority="41" stopIfTrue="1">
      <formula>OR(color_code=502,color_code=503,color_code=504)</formula>
    </cfRule>
    <cfRule type="expression" dxfId="50" priority="43" stopIfTrue="1">
      <formula>OR(color_code=602,color_code=603,color_code=604)</formula>
    </cfRule>
    <cfRule type="expression" dxfId="49" priority="44" stopIfTrue="1">
      <formula>color_code=701</formula>
    </cfRule>
    <cfRule type="expression" dxfId="48" priority="45" stopIfTrue="1">
      <formula>OR(color_code=702,color_code=703,color_code=704)</formula>
    </cfRule>
    <cfRule type="expression" dxfId="47" priority="49" stopIfTrue="1">
      <formula>color_code=801</formula>
    </cfRule>
    <cfRule type="expression" dxfId="46" priority="57" stopIfTrue="1">
      <formula>OR(color_code=802,color_code=803,color_code=804)</formula>
    </cfRule>
    <cfRule type="expression" dxfId="45" priority="62" stopIfTrue="1">
      <formula>color_code=1</formula>
    </cfRule>
    <cfRule type="expression" dxfId="44" priority="63" stopIfTrue="1">
      <formula>OR(color_code=2,color_code=3)</formula>
    </cfRule>
  </conditionalFormatting>
  <conditionalFormatting sqref="N12:N35">
    <cfRule type="expression" dxfId="42" priority="54">
      <formula>AND(Type="S",_xlfn.ISFORMULA($N12))</formula>
    </cfRule>
  </conditionalFormatting>
  <conditionalFormatting sqref="O12:O35">
    <cfRule type="expression" dxfId="41" priority="56">
      <formula>ind_start&lt;&gt;""</formula>
    </cfRule>
  </conditionalFormatting>
  <conditionalFormatting sqref="P12:P35 N12:N35 U12:U35 Z12:Z35">
    <cfRule type="expression" dxfId="40" priority="55">
      <formula>_xlfn.ISFORMULA(N12)</formula>
    </cfRule>
  </conditionalFormatting>
  <conditionalFormatting sqref="P12:T35">
    <cfRule type="expression" dxfId="39" priority="52">
      <formula>OR(ind_start&lt;&gt;"",ind_end&lt;&gt;"")</formula>
    </cfRule>
  </conditionalFormatting>
  <conditionalFormatting sqref="Q12:T35">
    <cfRule type="expression" dxfId="38" priority="53">
      <formula>d.id=""</formula>
    </cfRule>
  </conditionalFormatting>
  <conditionalFormatting sqref="AA6:BY6">
    <cfRule type="expression" dxfId="37" priority="51">
      <formula>AND(Date&gt;=project_start,Date&lt;=project_end)</formula>
    </cfRule>
  </conditionalFormatting>
  <conditionalFormatting sqref="AA7:BY9">
    <cfRule type="expression" dxfId="36" priority="50">
      <formula>AND(Date&gt;=project_start,Date&lt;=project_end)</formula>
    </cfRule>
  </conditionalFormatting>
  <conditionalFormatting sqref="AA7:BY10">
    <cfRule type="expression" dxfId="35" priority="1">
      <formula>IF(highlight="היום",Date=WORKDAY.INTL(TODAY()-1,1,weekend),Date=highlight)</formula>
    </cfRule>
  </conditionalFormatting>
  <conditionalFormatting sqref="AA7:BY35">
    <cfRule type="expression" dxfId="34" priority="2">
      <formula>IF(highlight="היום",Date=WORKDAY.INTL(TODAY()-1,1,weekend),Date=highlight)</formula>
    </cfRule>
    <cfRule type="expression" dxfId="33" priority="4">
      <formula>WEEKDAY(Next_Date)&lt;WEEKDAY(Date)</formula>
    </cfRule>
  </conditionalFormatting>
  <conditionalFormatting sqref="AA12:BY35">
    <cfRule type="expression" dxfId="32" priority="31" stopIfTrue="1">
      <formula>color_code=601</formula>
    </cfRule>
    <cfRule type="expression" dxfId="31" priority="9" stopIfTrue="1">
      <formula>AND(show_progress="כן",item_in_complete,OR(Type="S",Type="T"))</formula>
    </cfRule>
    <cfRule type="expression" dxfId="30" priority="5">
      <formula>AND(display="תוכנית VS בסיס",item_in_base,OR(Type="S",Type="T"))</formula>
    </cfRule>
    <cfRule type="expression" dxfId="29" priority="6">
      <formula>AND(display="תוכנית VS בסיס",item_in_base,NOT(item_in_plan),Type="M")</formula>
    </cfRule>
    <cfRule type="expression" priority="7" stopIfTrue="1">
      <formula>NOT(item_in_plan)</formula>
    </cfRule>
    <cfRule type="expression" dxfId="28" priority="8" stopIfTrue="1">
      <formula>AND(show_progress="כן",item_in_complete,Type="M")</formula>
    </cfRule>
    <cfRule type="expression" dxfId="27" priority="11" stopIfTrue="1">
      <formula>color_code=1</formula>
    </cfRule>
    <cfRule type="expression" dxfId="26" priority="12" stopIfTrue="1">
      <formula>color_code=2</formula>
    </cfRule>
    <cfRule type="expression" dxfId="25" priority="13" stopIfTrue="1">
      <formula>color_code=3</formula>
    </cfRule>
    <cfRule type="expression" dxfId="24" priority="26" stopIfTrue="1">
      <formula>color_code=402</formula>
    </cfRule>
    <cfRule type="expression" dxfId="23" priority="14" stopIfTrue="1">
      <formula>color_code=901</formula>
    </cfRule>
    <cfRule type="expression" dxfId="22" priority="15" stopIfTrue="1">
      <formula>color_code=902</formula>
    </cfRule>
    <cfRule type="expression" dxfId="21" priority="16" stopIfTrue="1">
      <formula>color_code=101</formula>
    </cfRule>
    <cfRule type="expression" dxfId="20" priority="46" stopIfTrue="1">
      <formula>color_code=602</formula>
    </cfRule>
    <cfRule type="expression" dxfId="19" priority="47" stopIfTrue="1">
      <formula>OR(color_code=603,color_code=604)</formula>
    </cfRule>
    <cfRule type="expression" dxfId="18" priority="48" stopIfTrue="1">
      <formula>color_code=701</formula>
    </cfRule>
    <cfRule type="expression" dxfId="17" priority="17" stopIfTrue="1">
      <formula>color_code=102</formula>
    </cfRule>
    <cfRule type="expression" dxfId="16" priority="18" stopIfTrue="1">
      <formula>OR(color_code=103,color_code=104)</formula>
    </cfRule>
    <cfRule type="expression" dxfId="15" priority="19" stopIfTrue="1">
      <formula>color_code=201</formula>
    </cfRule>
    <cfRule type="expression" dxfId="14" priority="20" stopIfTrue="1">
      <formula>color_code=202</formula>
    </cfRule>
    <cfRule type="expression" dxfId="13" priority="21" stopIfTrue="1">
      <formula>OR(color_code=203,color_code=204)</formula>
    </cfRule>
    <cfRule type="expression" dxfId="12" priority="22" stopIfTrue="1">
      <formula>color_code=301</formula>
    </cfRule>
    <cfRule type="expression" dxfId="11" priority="23" stopIfTrue="1">
      <formula>color_code=302</formula>
    </cfRule>
    <cfRule type="expression" dxfId="10" priority="24" stopIfTrue="1">
      <formula>OR(color_code=303,color_code=304)</formula>
    </cfRule>
    <cfRule type="expression" dxfId="9" priority="25" stopIfTrue="1">
      <formula>color_code=401</formula>
    </cfRule>
    <cfRule type="expression" dxfId="8" priority="58" stopIfTrue="1">
      <formula>color_code=702</formula>
    </cfRule>
    <cfRule type="expression" dxfId="7" priority="59" stopIfTrue="1">
      <formula>OR(color_code=703,color_code=704)</formula>
    </cfRule>
    <cfRule type="expression" dxfId="6" priority="60" stopIfTrue="1">
      <formula>color_code=801</formula>
    </cfRule>
    <cfRule type="expression" dxfId="5" priority="27" stopIfTrue="1">
      <formula>OR(color_code=403,color_code=404)</formula>
    </cfRule>
    <cfRule type="expression" dxfId="4" priority="28" stopIfTrue="1">
      <formula>color_code=501</formula>
    </cfRule>
    <cfRule type="expression" dxfId="3" priority="29" stopIfTrue="1">
      <formula>color_code=502</formula>
    </cfRule>
    <cfRule type="expression" dxfId="2" priority="30" stopIfTrue="1">
      <formula>OR(color_code=503,color_code=504)</formula>
    </cfRule>
    <cfRule type="expression" dxfId="1" priority="65" stopIfTrue="1">
      <formula>color_code=802</formula>
    </cfRule>
    <cfRule type="expression" dxfId="0" priority="66" stopIfTrue="1">
      <formula>OR(color_code=803,color_code=804)</formula>
    </cfRule>
  </conditionalFormatting>
  <dataValidations count="8">
    <dataValidation allowBlank="1" showInputMessage="1" showErrorMessage="1" promptTitle="הנחיות לבחירה עבור עמודה זו" prompt="בעמודה זו ניתן לבחור את סוג הקשר בין שתי משימות בטבלה_x000a__x000a_FS-Finish to Start: תתחיל לאחר שהמטלה האחרת נגמרה_x000a_SS-Start to Start: תתחיל באותו הזמן שהמטלה האחרת מתחילה_x000a_SF-Start to Finish: תגמר שהמטלה האחרת מתחילה_x000a_FF-Finish to Finish: תגמר שהמטלה האחרת נגמרת  " sqref="S10" xr:uid="{181E9E82-08EE-423F-A7FB-A41680171C01}"/>
    <dataValidation type="list" allowBlank="1" showInputMessage="1" showErrorMessage="1" sqref="AA4:AF4" xr:uid="{C9A3B14F-F75F-4567-8499-4E37C7432582}">
      <formula1>"ברירת מחדל,מבנה פרויקט,תפקידים,בעיות"</formula1>
    </dataValidation>
    <dataValidation type="list" allowBlank="1" showInputMessage="1" showErrorMessage="1" sqref="AH4:AM4" xr:uid="{43B06758-3F33-4F95-B04E-2139BBCB0170}">
      <formula1>"תוכנית,תוכנית VS בסיס"</formula1>
    </dataValidation>
    <dataValidation type="list" allowBlank="1" showInputMessage="1" showErrorMessage="1" sqref="AO4:AT4" xr:uid="{E3E7A399-58A1-4E87-973E-6A48B856285A}">
      <formula1>"כן,לא"</formula1>
    </dataValidation>
    <dataValidation type="list" allowBlank="1" showInputMessage="1" showErrorMessage="1" sqref="AV4:BA4" xr:uid="{32B22CEF-3D8C-4384-A882-6618BF2BE008}">
      <formula1>$Z$7:$BY$7</formula1>
    </dataValidation>
    <dataValidation type="list" allowBlank="1" showInputMessage="1" showErrorMessage="1" sqref="H12:H35" xr:uid="{451CA2CD-ADF4-4B51-BB68-71841DAF62A8}">
      <formula1>"S,T,M"</formula1>
    </dataValidation>
    <dataValidation type="list" allowBlank="1" showInputMessage="1" showErrorMessage="1" sqref="M12:M35" xr:uid="{0C38B6C8-3357-4143-B9DB-B63C23E932CF}">
      <formula1>"⚠"</formula1>
    </dataValidation>
    <dataValidation type="list" allowBlank="1" showInputMessage="1" showErrorMessage="1" sqref="S12:S35" xr:uid="{70458FE7-3E7C-4FA7-96CC-484D8E50054B}">
      <formula1>"FS,SS,SF,FF"</formula1>
    </dataValidation>
  </dataValidations>
  <pageMargins left="0.7" right="0.7" top="0.75" bottom="0.75" header="0.3" footer="0.3"/>
  <pageSetup orientation="portrait" r:id="rId1"/>
  <ignoredErrors>
    <ignoredError sqref="U12" evalError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54</xdr:col>
                    <xdr:colOff>0</xdr:colOff>
                    <xdr:row>2</xdr:row>
                    <xdr:rowOff>31750</xdr:rowOff>
                  </from>
                  <to>
                    <xdr:col>55</xdr:col>
                    <xdr:colOff>95250</xdr:colOff>
                    <xdr:row>4</xdr:row>
                    <xdr:rowOff>88900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1" id="{7D0995A0-7180-4C57-BC43-705E697FCA67}">
            <xm:f>ISNA(MATCH(TeamMemeber,הגדרות!$Q$7:$Q$40,0))</xm:f>
            <x14:dxf>
              <font>
                <color rgb="FFC00000"/>
              </font>
            </x14:dxf>
          </x14:cfRule>
          <xm:sqref>L12:L35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F0869E-E369-45F2-A106-DB74463CDF9A}">
          <x14:formula1>
            <xm:f>OFFSET(הגדרות!$Q$7,,,COUNTA(הגדרות!$Q$7:$Q$40))</xm:f>
          </x14:formula1>
          <xm:sqref>L12:L35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9211-BD10-4DF6-826C-A3AA6EDCE762}">
  <sheetPr codeName="Sheet2"/>
  <dimension ref="A1:BY41"/>
  <sheetViews>
    <sheetView showGridLines="0" rightToLeft="1" tabSelected="1" topLeftCell="R1" zoomScale="70" zoomScaleNormal="70" workbookViewId="0">
      <selection activeCell="I13" sqref="I13"/>
    </sheetView>
  </sheetViews>
  <sheetFormatPr defaultColWidth="9.1640625" defaultRowHeight="15" customHeight="1" x14ac:dyDescent="0.3"/>
  <cols>
    <col min="1" max="1" width="2.75" style="34" customWidth="1"/>
    <col min="2" max="2" width="16.4140625" style="34" customWidth="1"/>
    <col min="3" max="3" width="2.75" style="34" customWidth="1"/>
    <col min="4" max="4" width="9.1640625" style="1"/>
    <col min="5" max="5" width="2.25" style="1" customWidth="1"/>
    <col min="6" max="7" width="16.75" style="1" customWidth="1"/>
    <col min="8" max="8" width="2.25" style="1" customWidth="1"/>
    <col min="9" max="9" width="9.25" style="1" customWidth="1"/>
    <col min="10" max="10" width="2.25" style="1" customWidth="1"/>
    <col min="11" max="11" width="18.75" style="1" customWidth="1"/>
    <col min="12" max="12" width="10" style="1" customWidth="1"/>
    <col min="13" max="13" width="7.58203125" style="1" customWidth="1"/>
    <col min="14" max="14" width="2.25" style="1" customWidth="1"/>
    <col min="15" max="15" width="9.1640625" style="1"/>
    <col min="16" max="16" width="2.25" style="1" customWidth="1"/>
    <col min="17" max="17" width="20" style="1" customWidth="1"/>
    <col min="18" max="18" width="18.75" style="1" bestFit="1" customWidth="1"/>
    <col min="19" max="19" width="11.1640625" style="1" customWidth="1"/>
    <col min="20" max="20" width="2.25" style="1" customWidth="1"/>
    <col min="21" max="21" width="12.83203125" style="1" customWidth="1"/>
    <col min="22" max="22" width="12.25" style="1" customWidth="1"/>
    <col min="23" max="16384" width="9.1640625" style="1"/>
  </cols>
  <sheetData>
    <row r="1" spans="1:77" s="22" customFormat="1" ht="45.5" x14ac:dyDescent="0.3">
      <c r="A1" s="33"/>
      <c r="B1" s="33"/>
      <c r="C1" s="33"/>
      <c r="D1" s="19" t="s">
        <v>55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37"/>
      <c r="AB1" s="37"/>
      <c r="AC1" s="37"/>
      <c r="AD1" s="37"/>
      <c r="AE1" s="37"/>
      <c r="AF1" s="41"/>
      <c r="AG1" s="41"/>
      <c r="AH1" s="41"/>
      <c r="AI1" s="25"/>
      <c r="AJ1" s="36"/>
      <c r="AK1" s="36"/>
      <c r="AL1" s="36"/>
      <c r="AM1" s="21"/>
      <c r="AN1" s="20"/>
      <c r="AO1" s="20"/>
      <c r="AP1" s="20"/>
      <c r="AQ1" s="37"/>
      <c r="AR1" s="37"/>
      <c r="AS1" s="37"/>
      <c r="AT1" s="37"/>
      <c r="AU1" s="37"/>
      <c r="AV1" s="37"/>
      <c r="AW1" s="37"/>
      <c r="AX1" s="37"/>
      <c r="AY1" s="37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</row>
    <row r="4" spans="1:77" ht="15" customHeight="1" x14ac:dyDescent="0.3">
      <c r="E4" s="38" t="s">
        <v>51</v>
      </c>
      <c r="F4" s="39"/>
      <c r="G4" s="39"/>
      <c r="H4" s="39"/>
      <c r="J4" s="38" t="s">
        <v>49</v>
      </c>
      <c r="K4" s="39"/>
      <c r="L4" s="39"/>
      <c r="M4" s="39"/>
      <c r="N4" s="40"/>
      <c r="P4" s="38" t="s">
        <v>50</v>
      </c>
      <c r="Q4" s="39"/>
      <c r="R4" s="39"/>
      <c r="S4" s="39"/>
      <c r="T4" s="40"/>
    </row>
    <row r="5" spans="1:77" ht="15" customHeight="1" x14ac:dyDescent="0.3">
      <c r="E5" s="9"/>
      <c r="H5" s="10"/>
      <c r="J5" s="9"/>
      <c r="N5" s="10"/>
      <c r="P5" s="9"/>
      <c r="T5" s="10"/>
    </row>
    <row r="6" spans="1:77" ht="15" customHeight="1" x14ac:dyDescent="0.3">
      <c r="E6" s="9"/>
      <c r="F6" s="8" t="s">
        <v>25</v>
      </c>
      <c r="G6" s="31" t="s">
        <v>99</v>
      </c>
      <c r="H6" s="10"/>
      <c r="J6" s="9"/>
      <c r="K6" s="28" t="s">
        <v>41</v>
      </c>
      <c r="L6" s="28" t="s">
        <v>46</v>
      </c>
      <c r="M6" s="28" t="s">
        <v>48</v>
      </c>
      <c r="N6" s="10"/>
      <c r="P6" s="9"/>
      <c r="Q6" s="28" t="s">
        <v>42</v>
      </c>
      <c r="R6" s="28" t="s">
        <v>12</v>
      </c>
      <c r="S6" s="28" t="s">
        <v>46</v>
      </c>
      <c r="T6" s="10"/>
    </row>
    <row r="7" spans="1:77" ht="15" customHeight="1" x14ac:dyDescent="0.3">
      <c r="E7" s="9"/>
      <c r="H7" s="10"/>
      <c r="J7" s="9"/>
      <c r="K7" s="26" t="s">
        <v>64</v>
      </c>
      <c r="L7" s="27" t="s">
        <v>63</v>
      </c>
      <c r="M7" s="29">
        <f>IF(K7="","",COUNTIFS($S$7:$S$40,L7))</f>
        <v>1</v>
      </c>
      <c r="N7" s="10"/>
      <c r="P7" s="9"/>
      <c r="Q7" s="26" t="s">
        <v>58</v>
      </c>
      <c r="R7" s="27" t="s">
        <v>64</v>
      </c>
      <c r="S7" s="30" t="str">
        <f>_xlfn.IFNA(INDEX($L$7:$L$14,MATCH(R7,$K$7:$K$14,0)),"")</f>
        <v>PM</v>
      </c>
      <c r="T7" s="10"/>
    </row>
    <row r="8" spans="1:77" ht="15" customHeight="1" x14ac:dyDescent="0.3">
      <c r="E8" s="9"/>
      <c r="F8" s="8" t="s">
        <v>26</v>
      </c>
      <c r="G8" s="31" t="s">
        <v>58</v>
      </c>
      <c r="H8" s="10"/>
      <c r="J8" s="9"/>
      <c r="K8" s="26" t="s">
        <v>65</v>
      </c>
      <c r="L8" s="27" t="s">
        <v>68</v>
      </c>
      <c r="M8" s="29">
        <f t="shared" ref="M8:M14" si="0">IF(K8="","",COUNTIFS($S$7:$S$40,L8))</f>
        <v>1</v>
      </c>
      <c r="N8" s="10"/>
      <c r="P8" s="9"/>
      <c r="Q8" s="26" t="s">
        <v>60</v>
      </c>
      <c r="R8" s="27" t="s">
        <v>65</v>
      </c>
      <c r="S8" s="30" t="str">
        <f t="shared" ref="S8:S40" si="1">_xlfn.IFNA(INDEX($L$7:$L$14,MATCH(R8,$K$7:$K$14,0)),"")</f>
        <v>SM</v>
      </c>
      <c r="T8" s="10"/>
      <c r="U8" s="2"/>
      <c r="V8" s="3"/>
    </row>
    <row r="9" spans="1:77" ht="15" customHeight="1" x14ac:dyDescent="0.3">
      <c r="E9" s="9"/>
      <c r="H9" s="10"/>
      <c r="J9" s="9"/>
      <c r="K9" s="26" t="s">
        <v>66</v>
      </c>
      <c r="L9" s="27" t="s">
        <v>70</v>
      </c>
      <c r="M9" s="29">
        <f t="shared" si="0"/>
        <v>1</v>
      </c>
      <c r="N9" s="10"/>
      <c r="P9" s="9"/>
      <c r="Q9" s="26" t="s">
        <v>61</v>
      </c>
      <c r="R9" s="27" t="s">
        <v>66</v>
      </c>
      <c r="S9" s="30" t="str">
        <f t="shared" si="1"/>
        <v>AP</v>
      </c>
      <c r="T9" s="10"/>
      <c r="U9" s="4"/>
      <c r="V9" s="5"/>
    </row>
    <row r="10" spans="1:77" ht="15" customHeight="1" x14ac:dyDescent="0.3">
      <c r="E10" s="9"/>
      <c r="F10" s="8" t="s">
        <v>27</v>
      </c>
      <c r="G10" s="31" t="s">
        <v>59</v>
      </c>
      <c r="H10" s="10"/>
      <c r="J10" s="9"/>
      <c r="K10" s="26" t="s">
        <v>67</v>
      </c>
      <c r="L10" s="27" t="s">
        <v>69</v>
      </c>
      <c r="M10" s="29">
        <f t="shared" si="0"/>
        <v>1</v>
      </c>
      <c r="N10" s="10"/>
      <c r="P10" s="9"/>
      <c r="Q10" s="26" t="s">
        <v>62</v>
      </c>
      <c r="R10" s="27" t="s">
        <v>67</v>
      </c>
      <c r="S10" s="30" t="str">
        <f t="shared" si="1"/>
        <v>DC</v>
      </c>
      <c r="T10" s="10"/>
      <c r="U10" s="6"/>
      <c r="V10" s="7"/>
    </row>
    <row r="11" spans="1:77" ht="15" customHeight="1" x14ac:dyDescent="0.3">
      <c r="E11" s="11"/>
      <c r="F11" s="12"/>
      <c r="G11" s="12"/>
      <c r="H11" s="13"/>
      <c r="J11" s="9"/>
      <c r="K11" s="26"/>
      <c r="L11" s="27"/>
      <c r="M11" s="29" t="str">
        <f t="shared" si="0"/>
        <v/>
      </c>
      <c r="N11" s="10"/>
      <c r="P11" s="9"/>
      <c r="Q11" s="26"/>
      <c r="R11" s="27"/>
      <c r="S11" s="30" t="str">
        <f t="shared" si="1"/>
        <v/>
      </c>
      <c r="T11" s="10"/>
    </row>
    <row r="12" spans="1:77" ht="15" customHeight="1" x14ac:dyDescent="0.3">
      <c r="J12" s="9"/>
      <c r="K12" s="26"/>
      <c r="L12" s="27"/>
      <c r="M12" s="29" t="str">
        <f t="shared" si="0"/>
        <v/>
      </c>
      <c r="N12" s="10"/>
      <c r="P12" s="9"/>
      <c r="Q12" s="26"/>
      <c r="R12" s="27"/>
      <c r="S12" s="30" t="str">
        <f t="shared" si="1"/>
        <v/>
      </c>
      <c r="T12" s="10"/>
    </row>
    <row r="13" spans="1:77" ht="15" customHeight="1" x14ac:dyDescent="0.3">
      <c r="E13" s="38" t="s">
        <v>30</v>
      </c>
      <c r="F13" s="39"/>
      <c r="G13" s="39"/>
      <c r="H13" s="39"/>
      <c r="J13" s="9"/>
      <c r="K13" s="26"/>
      <c r="L13" s="27"/>
      <c r="M13" s="29" t="str">
        <f t="shared" si="0"/>
        <v/>
      </c>
      <c r="N13" s="10"/>
      <c r="P13" s="9"/>
      <c r="Q13" s="26"/>
      <c r="R13" s="27"/>
      <c r="S13" s="30" t="str">
        <f t="shared" si="1"/>
        <v/>
      </c>
      <c r="T13" s="10"/>
    </row>
    <row r="14" spans="1:77" ht="15" customHeight="1" x14ac:dyDescent="0.3">
      <c r="E14" s="9"/>
      <c r="H14" s="10"/>
      <c r="J14" s="9"/>
      <c r="K14" s="26"/>
      <c r="L14" s="27"/>
      <c r="M14" s="29" t="str">
        <f t="shared" si="0"/>
        <v/>
      </c>
      <c r="N14" s="10"/>
      <c r="P14" s="9"/>
      <c r="Q14" s="26"/>
      <c r="R14" s="27"/>
      <c r="S14" s="30" t="str">
        <f t="shared" si="1"/>
        <v/>
      </c>
      <c r="T14" s="10"/>
    </row>
    <row r="15" spans="1:77" ht="15" customHeight="1" x14ac:dyDescent="0.3">
      <c r="E15" s="9"/>
      <c r="F15" s="8" t="s">
        <v>31</v>
      </c>
      <c r="G15" s="15" t="str">
        <f>_xlfn.CONCAT(H19,H21,H23,H25,H27,H29,H17)</f>
        <v>0000110</v>
      </c>
      <c r="H15" s="10"/>
      <c r="J15" s="11"/>
      <c r="K15" s="12"/>
      <c r="L15" s="12"/>
      <c r="M15" s="12"/>
      <c r="N15" s="13"/>
      <c r="P15" s="9"/>
      <c r="Q15" s="26"/>
      <c r="R15" s="27"/>
      <c r="S15" s="30" t="str">
        <f t="shared" si="1"/>
        <v/>
      </c>
      <c r="T15" s="10"/>
    </row>
    <row r="16" spans="1:77" ht="15" customHeight="1" x14ac:dyDescent="0.3">
      <c r="P16" s="9"/>
      <c r="Q16" s="26"/>
      <c r="R16" s="27"/>
      <c r="S16" s="30" t="str">
        <f t="shared" si="1"/>
        <v/>
      </c>
      <c r="T16" s="10"/>
    </row>
    <row r="17" spans="5:20" ht="15" customHeight="1" x14ac:dyDescent="0.3">
      <c r="E17" s="9"/>
      <c r="F17" s="18" t="s">
        <v>32</v>
      </c>
      <c r="G17" s="32" t="s">
        <v>39</v>
      </c>
      <c r="H17" s="16" t="str">
        <f>TEXT(IF(G17="יום חול",0,1),"0")</f>
        <v>0</v>
      </c>
      <c r="P17" s="9"/>
      <c r="Q17" s="26"/>
      <c r="R17" s="27"/>
      <c r="S17" s="30" t="str">
        <f t="shared" si="1"/>
        <v/>
      </c>
      <c r="T17" s="10"/>
    </row>
    <row r="18" spans="5:20" ht="15" customHeight="1" x14ac:dyDescent="0.3">
      <c r="E18" s="9"/>
      <c r="F18" s="14"/>
      <c r="H18" s="16"/>
      <c r="P18" s="9"/>
      <c r="Q18" s="26"/>
      <c r="R18" s="27"/>
      <c r="S18" s="30" t="str">
        <f t="shared" si="1"/>
        <v/>
      </c>
      <c r="T18" s="10"/>
    </row>
    <row r="19" spans="5:20" ht="15" customHeight="1" x14ac:dyDescent="0.3">
      <c r="E19" s="9"/>
      <c r="F19" s="18" t="s">
        <v>33</v>
      </c>
      <c r="G19" s="32" t="s">
        <v>39</v>
      </c>
      <c r="H19" s="16" t="str">
        <f>TEXT(IF(G19="יום חול",0,1),"0")</f>
        <v>0</v>
      </c>
      <c r="P19" s="9"/>
      <c r="Q19" s="26"/>
      <c r="R19" s="27"/>
      <c r="S19" s="30" t="str">
        <f t="shared" si="1"/>
        <v/>
      </c>
      <c r="T19" s="10"/>
    </row>
    <row r="20" spans="5:20" ht="15" customHeight="1" x14ac:dyDescent="0.3">
      <c r="E20" s="9"/>
      <c r="F20" s="14"/>
      <c r="H20" s="16"/>
      <c r="P20" s="9"/>
      <c r="Q20" s="26"/>
      <c r="R20" s="27"/>
      <c r="S20" s="30" t="str">
        <f t="shared" si="1"/>
        <v/>
      </c>
      <c r="T20" s="10"/>
    </row>
    <row r="21" spans="5:20" ht="15" customHeight="1" x14ac:dyDescent="0.3">
      <c r="E21" s="9"/>
      <c r="F21" s="18" t="s">
        <v>34</v>
      </c>
      <c r="G21" s="32" t="s">
        <v>39</v>
      </c>
      <c r="H21" s="16" t="str">
        <f>TEXT(IF(G21="יום חול",0,1),"0")</f>
        <v>0</v>
      </c>
      <c r="P21" s="9"/>
      <c r="Q21" s="26"/>
      <c r="R21" s="27"/>
      <c r="S21" s="30" t="str">
        <f t="shared" si="1"/>
        <v/>
      </c>
      <c r="T21" s="10"/>
    </row>
    <row r="22" spans="5:20" ht="15" customHeight="1" x14ac:dyDescent="0.3">
      <c r="E22" s="9"/>
      <c r="F22" s="14"/>
      <c r="H22" s="16"/>
      <c r="P22" s="9"/>
      <c r="Q22" s="26"/>
      <c r="R22" s="27"/>
      <c r="S22" s="30" t="str">
        <f t="shared" si="1"/>
        <v/>
      </c>
      <c r="T22" s="10"/>
    </row>
    <row r="23" spans="5:20" ht="15" customHeight="1" x14ac:dyDescent="0.3">
      <c r="E23" s="9"/>
      <c r="F23" s="18" t="s">
        <v>35</v>
      </c>
      <c r="G23" s="32" t="s">
        <v>39</v>
      </c>
      <c r="H23" s="16" t="str">
        <f>TEXT(IF(G23="יום חול",0,1),"0")</f>
        <v>0</v>
      </c>
      <c r="P23" s="9"/>
      <c r="Q23" s="26"/>
      <c r="R23" s="27"/>
      <c r="S23" s="30" t="str">
        <f t="shared" si="1"/>
        <v/>
      </c>
      <c r="T23" s="10"/>
    </row>
    <row r="24" spans="5:20" ht="15" customHeight="1" x14ac:dyDescent="0.3">
      <c r="E24" s="9"/>
      <c r="F24" s="14"/>
      <c r="H24" s="16"/>
      <c r="P24" s="9"/>
      <c r="Q24" s="26"/>
      <c r="R24" s="27"/>
      <c r="S24" s="30" t="str">
        <f t="shared" si="1"/>
        <v/>
      </c>
      <c r="T24" s="10"/>
    </row>
    <row r="25" spans="5:20" ht="15" customHeight="1" x14ac:dyDescent="0.3">
      <c r="E25" s="9"/>
      <c r="F25" s="18" t="s">
        <v>36</v>
      </c>
      <c r="G25" s="32" t="s">
        <v>39</v>
      </c>
      <c r="H25" s="16" t="str">
        <f>TEXT(IF(G25="יום חול",0,1),"0")</f>
        <v>0</v>
      </c>
      <c r="P25" s="9"/>
      <c r="Q25" s="26"/>
      <c r="R25" s="27"/>
      <c r="S25" s="30" t="str">
        <f t="shared" si="1"/>
        <v/>
      </c>
      <c r="T25" s="10"/>
    </row>
    <row r="26" spans="5:20" ht="15" customHeight="1" x14ac:dyDescent="0.3">
      <c r="E26" s="9"/>
      <c r="F26" s="14"/>
      <c r="H26" s="16"/>
      <c r="P26" s="9"/>
      <c r="Q26" s="26"/>
      <c r="R26" s="27"/>
      <c r="S26" s="30" t="str">
        <f t="shared" si="1"/>
        <v/>
      </c>
      <c r="T26" s="10"/>
    </row>
    <row r="27" spans="5:20" ht="15" customHeight="1" x14ac:dyDescent="0.3">
      <c r="E27" s="9"/>
      <c r="F27" s="18" t="s">
        <v>37</v>
      </c>
      <c r="G27" s="32" t="s">
        <v>40</v>
      </c>
      <c r="H27" s="16" t="str">
        <f>TEXT(IF(G27="יום חול",0,1),"0")</f>
        <v>1</v>
      </c>
      <c r="P27" s="9"/>
      <c r="Q27" s="26"/>
      <c r="R27" s="27"/>
      <c r="S27" s="30" t="str">
        <f t="shared" si="1"/>
        <v/>
      </c>
      <c r="T27" s="10"/>
    </row>
    <row r="28" spans="5:20" ht="15" customHeight="1" x14ac:dyDescent="0.3">
      <c r="F28" s="14"/>
      <c r="H28" s="17"/>
      <c r="P28" s="9"/>
      <c r="Q28" s="26"/>
      <c r="R28" s="27"/>
      <c r="S28" s="30" t="str">
        <f t="shared" si="1"/>
        <v/>
      </c>
      <c r="T28" s="10"/>
    </row>
    <row r="29" spans="5:20" ht="15" customHeight="1" x14ac:dyDescent="0.3">
      <c r="E29" s="9"/>
      <c r="F29" s="18" t="s">
        <v>38</v>
      </c>
      <c r="G29" s="32" t="s">
        <v>40</v>
      </c>
      <c r="H29" s="16" t="str">
        <f>TEXT(IF(G29="יום חול",0,1),"0")</f>
        <v>1</v>
      </c>
      <c r="P29" s="9"/>
      <c r="Q29" s="26"/>
      <c r="R29" s="27"/>
      <c r="S29" s="30" t="str">
        <f t="shared" si="1"/>
        <v/>
      </c>
      <c r="T29" s="10"/>
    </row>
    <row r="30" spans="5:20" ht="15" customHeight="1" x14ac:dyDescent="0.3">
      <c r="E30" s="11"/>
      <c r="F30" s="12"/>
      <c r="G30" s="12"/>
      <c r="H30" s="13"/>
      <c r="P30" s="9"/>
      <c r="Q30" s="26"/>
      <c r="R30" s="27"/>
      <c r="S30" s="30" t="str">
        <f t="shared" si="1"/>
        <v/>
      </c>
      <c r="T30" s="10"/>
    </row>
    <row r="31" spans="5:20" ht="15" customHeight="1" x14ac:dyDescent="0.3">
      <c r="P31" s="9"/>
      <c r="Q31" s="26"/>
      <c r="R31" s="27"/>
      <c r="S31" s="30" t="str">
        <f t="shared" si="1"/>
        <v/>
      </c>
      <c r="T31" s="10"/>
    </row>
    <row r="32" spans="5:20" ht="15" customHeight="1" x14ac:dyDescent="0.3">
      <c r="P32" s="9"/>
      <c r="Q32" s="26"/>
      <c r="R32" s="27"/>
      <c r="S32" s="30" t="str">
        <f t="shared" si="1"/>
        <v/>
      </c>
      <c r="T32" s="10"/>
    </row>
    <row r="33" spans="16:20" ht="15" customHeight="1" x14ac:dyDescent="0.3">
      <c r="P33" s="9"/>
      <c r="Q33" s="26"/>
      <c r="R33" s="27"/>
      <c r="S33" s="30" t="str">
        <f t="shared" si="1"/>
        <v/>
      </c>
      <c r="T33" s="10"/>
    </row>
    <row r="34" spans="16:20" ht="15" customHeight="1" x14ac:dyDescent="0.3">
      <c r="P34" s="9"/>
      <c r="Q34" s="26"/>
      <c r="R34" s="27"/>
      <c r="S34" s="30" t="str">
        <f t="shared" si="1"/>
        <v/>
      </c>
      <c r="T34" s="10"/>
    </row>
    <row r="35" spans="16:20" ht="15" customHeight="1" x14ac:dyDescent="0.3">
      <c r="P35" s="9"/>
      <c r="Q35" s="26"/>
      <c r="R35" s="27"/>
      <c r="S35" s="30" t="str">
        <f t="shared" si="1"/>
        <v/>
      </c>
      <c r="T35" s="10"/>
    </row>
    <row r="36" spans="16:20" ht="15" customHeight="1" x14ac:dyDescent="0.3">
      <c r="P36" s="9"/>
      <c r="Q36" s="26"/>
      <c r="R36" s="27"/>
      <c r="S36" s="30" t="str">
        <f t="shared" si="1"/>
        <v/>
      </c>
      <c r="T36" s="10"/>
    </row>
    <row r="37" spans="16:20" ht="15" customHeight="1" x14ac:dyDescent="0.3">
      <c r="P37" s="9"/>
      <c r="Q37" s="26"/>
      <c r="R37" s="27"/>
      <c r="S37" s="30" t="str">
        <f t="shared" si="1"/>
        <v/>
      </c>
      <c r="T37" s="10"/>
    </row>
    <row r="38" spans="16:20" ht="15" customHeight="1" x14ac:dyDescent="0.3">
      <c r="P38" s="9"/>
      <c r="Q38" s="26"/>
      <c r="R38" s="27"/>
      <c r="S38" s="30" t="str">
        <f t="shared" si="1"/>
        <v/>
      </c>
      <c r="T38" s="10"/>
    </row>
    <row r="39" spans="16:20" ht="15" customHeight="1" x14ac:dyDescent="0.3">
      <c r="P39" s="9"/>
      <c r="Q39" s="26"/>
      <c r="R39" s="27"/>
      <c r="S39" s="30" t="str">
        <f t="shared" si="1"/>
        <v/>
      </c>
      <c r="T39" s="10"/>
    </row>
    <row r="40" spans="16:20" ht="15" customHeight="1" x14ac:dyDescent="0.3">
      <c r="P40" s="9"/>
      <c r="Q40" s="26"/>
      <c r="R40" s="27"/>
      <c r="S40" s="30" t="str">
        <f t="shared" si="1"/>
        <v/>
      </c>
      <c r="T40" s="10"/>
    </row>
    <row r="41" spans="16:20" ht="15" customHeight="1" x14ac:dyDescent="0.3">
      <c r="P41" s="11"/>
      <c r="Q41" s="12"/>
      <c r="R41" s="12"/>
      <c r="S41" s="12"/>
      <c r="T41" s="13"/>
    </row>
  </sheetData>
  <mergeCells count="9">
    <mergeCell ref="AJ1:AL1"/>
    <mergeCell ref="AQ1:AT1"/>
    <mergeCell ref="AU1:AY1"/>
    <mergeCell ref="E4:H4"/>
    <mergeCell ref="E13:H13"/>
    <mergeCell ref="J4:N4"/>
    <mergeCell ref="P4:T4"/>
    <mergeCell ref="AA1:AE1"/>
    <mergeCell ref="AF1:AH1"/>
  </mergeCells>
  <dataValidations count="8">
    <dataValidation type="list" allowBlank="1" showInputMessage="1" showErrorMessage="1" sqref="G10" xr:uid="{03228781-0948-48F5-8E3A-3E2AAB873CF8}">
      <formula1>"גבוהה,בינונית,נמוכה"</formula1>
    </dataValidation>
    <dataValidation type="list" allowBlank="1" showInputMessage="1" showErrorMessage="1" sqref="G17 G19 G21 G23 G25 G27 G29" xr:uid="{24F7F002-FC7F-4F83-99C2-AAFEC542D297}">
      <formula1>"סופש,יום חול"</formula1>
    </dataValidation>
    <dataValidation type="list" allowBlank="1" showInputMessage="1" showErrorMessage="1" sqref="R7:R40" xr:uid="{685C6CF3-4BEF-41B0-A8C2-9304B0A85285}">
      <formula1>OFFSET($K$6,1,,COUNTA($K$6:$K$14)-1)</formula1>
    </dataValidation>
    <dataValidation type="list" allowBlank="1" showInputMessage="1" showErrorMessage="1" sqref="G8" xr:uid="{2CDED910-EB64-4607-9025-0BDD26464B63}">
      <formula1>OFFSET($Q$7,,,COUNTA($Q$7:$Q$40))</formula1>
    </dataValidation>
    <dataValidation allowBlank="1" showInputMessage="1" showErrorMessage="1" promptTitle="שימו לב" prompt="עמודה זו מכילה נוסחאות המושכות את התצוגה עבור כל תפקיד._x000a_לשמירה על תקינות הקובץ - אין למחוק או לשנות באופן ידני את הערכים." sqref="S6" xr:uid="{56DDA0B8-6DCE-41E0-976F-19EA52F63328}"/>
    <dataValidation allowBlank="1" showInputMessage="1" showErrorMessage="1" promptTitle="שימו לב ⚠" prompt="תא זה מכיל חישוב אוטומטי._x000a_על מנת לשמור על תקינות הקובץ - לא למחוק או לשנות את תוכן התא." sqref="G15" xr:uid="{6A45230A-C479-4226-99D9-DA96EDDB8A47}"/>
    <dataValidation allowBlank="1" showInputMessage="1" showErrorMessage="1" promptTitle="שימו לב ⚠" prompt="עמודה זו מכילה נוסחאות לחישוב מספר אנשי צוות בכל תפקיד._x000a_לשמירה על תקינות הקובץ - אין למחוק או לשנות באופן ידני את הערכים." sqref="M6:M14" xr:uid="{5082C74E-071F-43AA-82F5-2722B2986AEF}"/>
    <dataValidation allowBlank="1" showInputMessage="1" showErrorMessage="1" promptTitle="שימו לב ⚠" prompt="עמודה זו מכילה נוסחאות המושכות את התצוגה עבור כל תפקיד._x000a_לשמירה על תקינות הקובץ - אין למחוק או לשנות באופן ידני את הערכים." sqref="S7:S40" xr:uid="{FC82552C-E3B1-46F1-B775-40EE19670475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טבלת גאנט</vt:lpstr>
      <vt:lpstr>הגדרות</vt:lpstr>
      <vt:lpstr>'טבלת גאנט'!base_end</vt:lpstr>
      <vt:lpstr>'טבלת גאנט'!base_start</vt:lpstr>
      <vt:lpstr>color_by</vt:lpstr>
      <vt:lpstr>'טבלת גאנט'!d.conn</vt:lpstr>
      <vt:lpstr>'טבלת גאנט'!d.id</vt:lpstr>
      <vt:lpstr>'טבלת גאנט'!d.lag</vt:lpstr>
      <vt:lpstr>'טבלת גאנט'!Date</vt:lpstr>
      <vt:lpstr>display</vt:lpstr>
      <vt:lpstr>highlight</vt:lpstr>
      <vt:lpstr>'טבלת גאנט'!id</vt:lpstr>
      <vt:lpstr>ind_end</vt:lpstr>
      <vt:lpstr>ind_start</vt:lpstr>
      <vt:lpstr>'טבלת גאנט'!issue</vt:lpstr>
      <vt:lpstr>Next_Date</vt:lpstr>
      <vt:lpstr>'טבלת גאנט'!percentage_complete</vt:lpstr>
      <vt:lpstr>plan_end</vt:lpstr>
      <vt:lpstr>plan_start</vt:lpstr>
      <vt:lpstr>'טבלת גאנט'!prev_col_range</vt:lpstr>
      <vt:lpstr>'טבלת גאנט'!r_id</vt:lpstr>
      <vt:lpstr>'טבלת גאנט'!role</vt:lpstr>
      <vt:lpstr>scroll_inc</vt:lpstr>
      <vt:lpstr>'טבלת גאנט'!show_progress</vt:lpstr>
      <vt:lpstr>'טבלת גאנט'!stage_id</vt:lpstr>
      <vt:lpstr>TeamMemeber</vt:lpstr>
      <vt:lpstr>'טבלת גאנט'!Type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Klein</dc:creator>
  <cp:lastModifiedBy>נתי וורקנך</cp:lastModifiedBy>
  <dcterms:created xsi:type="dcterms:W3CDTF">2023-01-04T06:22:18Z</dcterms:created>
  <dcterms:modified xsi:type="dcterms:W3CDTF">2026-06-28T06:07:52Z</dcterms:modified>
</cp:coreProperties>
</file>